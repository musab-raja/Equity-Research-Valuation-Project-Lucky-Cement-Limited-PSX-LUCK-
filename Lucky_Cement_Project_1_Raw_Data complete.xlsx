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8940" firstSheet="8" activeTab="10"/>
  </bookViews>
  <sheets>
    <sheet name="README" sheetId="1" r:id="rId1"/>
    <sheet name="Income Statement" sheetId="2" r:id="rId2"/>
    <sheet name="Balance Sheet" sheetId="3" r:id="rId3"/>
    <sheet name="Cash Flow" sheetId="4" r:id="rId4"/>
    <sheet name="Market Snapshot" sheetId="5" r:id="rId5"/>
    <sheet name="Stock Price - Recent" sheetId="6" r:id="rId6"/>
    <sheet name="Segment Revenue" sheetId="7" r:id="rId7"/>
    <sheet name="DCF Inputs - Raw" sheetId="8" r:id="rId8"/>
    <sheet name="Financial analysis" sheetId="9" r:id="rId9"/>
    <sheet name="key Assumptions &amp; Conclusion" sheetId="12" r:id="rId10"/>
    <sheet name="Dashboard" sheetId="13" r:id="rId11"/>
    <sheet name="Case Study" sheetId="14" r:id="rId12"/>
  </sheets>
  <calcPr calcId="162913"/>
</workbook>
</file>

<file path=xl/calcChain.xml><?xml version="1.0" encoding="utf-8"?>
<calcChain xmlns="http://schemas.openxmlformats.org/spreadsheetml/2006/main">
  <c r="G5" i="13" l="1"/>
  <c r="E96" i="13" l="1"/>
  <c r="E88" i="13"/>
  <c r="E5" i="13" l="1"/>
  <c r="C5" i="13"/>
  <c r="A5" i="13"/>
  <c r="H50" i="8" l="1"/>
  <c r="B72" i="8"/>
  <c r="B16" i="8"/>
  <c r="C34" i="8" l="1"/>
  <c r="D34" i="8"/>
  <c r="E34" i="8"/>
  <c r="F34" i="8"/>
  <c r="B34" i="8"/>
  <c r="B19" i="8"/>
  <c r="B31" i="8" s="1"/>
  <c r="B2" i="2"/>
  <c r="B11" i="8"/>
  <c r="C19" i="8" l="1"/>
  <c r="B21" i="8"/>
  <c r="B23" i="8"/>
  <c r="B30" i="8"/>
  <c r="D5" i="9"/>
  <c r="E5" i="9"/>
  <c r="F5" i="9"/>
  <c r="B24" i="8" l="1"/>
  <c r="B26" i="8"/>
  <c r="B27" i="8"/>
  <c r="B32" i="8" s="1"/>
  <c r="B35" i="8" s="1"/>
  <c r="C31" i="8"/>
  <c r="C23" i="8"/>
  <c r="C30" i="8"/>
  <c r="C21" i="8"/>
  <c r="D19" i="8"/>
  <c r="C7" i="9"/>
  <c r="D7" i="9"/>
  <c r="E7" i="9"/>
  <c r="F7" i="9"/>
  <c r="C5" i="9"/>
  <c r="C14" i="9"/>
  <c r="D14" i="9"/>
  <c r="E14" i="9"/>
  <c r="F14" i="9"/>
  <c r="B14" i="9"/>
  <c r="D13" i="9"/>
  <c r="E13" i="9"/>
  <c r="F13" i="9"/>
  <c r="C13" i="9"/>
  <c r="C11" i="9"/>
  <c r="D11" i="9"/>
  <c r="E11" i="9"/>
  <c r="F11" i="9"/>
  <c r="C12" i="9"/>
  <c r="D12" i="9"/>
  <c r="E12" i="9"/>
  <c r="F12" i="9"/>
  <c r="B12" i="9"/>
  <c r="B11" i="9"/>
  <c r="C10" i="9"/>
  <c r="D10" i="9"/>
  <c r="E10" i="9"/>
  <c r="F10" i="9"/>
  <c r="B10" i="9"/>
  <c r="C9" i="9"/>
  <c r="D9" i="9"/>
  <c r="E9" i="9"/>
  <c r="F9" i="9"/>
  <c r="B9" i="9"/>
  <c r="C8" i="9"/>
  <c r="D8" i="9"/>
  <c r="E8" i="9"/>
  <c r="F8" i="9"/>
  <c r="B8" i="9"/>
  <c r="B7" i="9"/>
  <c r="C6" i="9"/>
  <c r="D6" i="9"/>
  <c r="E6" i="9"/>
  <c r="F6" i="9"/>
  <c r="B6" i="9"/>
  <c r="D21" i="8" l="1"/>
  <c r="E19" i="8"/>
  <c r="D31" i="8"/>
  <c r="D23" i="8"/>
  <c r="D30" i="8"/>
  <c r="C24" i="8"/>
  <c r="E30" i="8" l="1"/>
  <c r="E21" i="8"/>
  <c r="E24" i="8" s="1"/>
  <c r="F19" i="8"/>
  <c r="E31" i="8"/>
  <c r="E23" i="8"/>
  <c r="C26" i="8"/>
  <c r="C27" i="8" s="1"/>
  <c r="C32" i="8" s="1"/>
  <c r="C35" i="8" s="1"/>
  <c r="D24" i="8"/>
  <c r="F30" i="8" l="1"/>
  <c r="F31" i="8"/>
  <c r="F21" i="8"/>
  <c r="F23" i="8"/>
  <c r="D26" i="8"/>
  <c r="D27" i="8"/>
  <c r="D32" i="8" s="1"/>
  <c r="D35" i="8" s="1"/>
  <c r="E26" i="8"/>
  <c r="E27" i="8" s="1"/>
  <c r="E32" i="8" s="1"/>
  <c r="E35" i="8" s="1"/>
  <c r="F24" i="8" l="1"/>
  <c r="F26" i="8" l="1"/>
  <c r="F27" i="8" s="1"/>
  <c r="F32" i="8" s="1"/>
  <c r="F37" i="8" l="1"/>
  <c r="F38" i="8" s="1"/>
  <c r="F35" i="8"/>
  <c r="B39" i="8" l="1"/>
  <c r="B41" i="8" s="1"/>
  <c r="B43" i="8" s="1"/>
  <c r="B45" i="8" l="1"/>
</calcChain>
</file>

<file path=xl/sharedStrings.xml><?xml version="1.0" encoding="utf-8"?>
<sst xmlns="http://schemas.openxmlformats.org/spreadsheetml/2006/main" count="553" uniqueCount="354">
  <si>
    <t>PROJECT 1 — EQUITY RESEARCH &amp; VALUATION</t>
  </si>
  <si>
    <t>Company</t>
  </si>
  <si>
    <t>Lucky Cement Limited (PSX: LUCK)</t>
  </si>
  <si>
    <t>Data period</t>
  </si>
  <si>
    <t>FY2022–FY2026 (five fiscal years)</t>
  </si>
  <si>
    <t>Currency</t>
  </si>
  <si>
    <t>PKR</t>
  </si>
  <si>
    <t>Financial statement unit</t>
  </si>
  <si>
    <t>PKR million unless stated otherwise</t>
  </si>
  <si>
    <t>Purpose</t>
  </si>
  <si>
    <t>Raw research dataset only. Excel modelling and Power BI shaping come next.</t>
  </si>
  <si>
    <t>Important</t>
  </si>
  <si>
    <t>Do not change source figures. Calculations, forecasts, DCF, ratios and valuation will be built separately.</t>
  </si>
  <si>
    <t>Primary source</t>
  </si>
  <si>
    <t>Lucky Cement official Financial Reports / Annual Reports</t>
  </si>
  <si>
    <t>Market source</t>
  </si>
  <si>
    <t>Pakistan Stock Exchange (PSX) and S&amp;P Global Market Intelligence data surfaced by StockAnalysis</t>
  </si>
  <si>
    <t>Latest market snapshot</t>
  </si>
  <si>
    <t>20-Aug-2026 close</t>
  </si>
  <si>
    <t>Metric</t>
  </si>
  <si>
    <t>FY2022</t>
  </si>
  <si>
    <t>FY2023</t>
  </si>
  <si>
    <t>FY2024</t>
  </si>
  <si>
    <t>FY2025</t>
  </si>
  <si>
    <t>FY2026</t>
  </si>
  <si>
    <t>Source</t>
  </si>
  <si>
    <t>Gross Revenue</t>
  </si>
  <si>
    <t>Lucky Cement annual reports / FY2026 results; PKR million</t>
  </si>
  <si>
    <t>Sales tax &amp; excise duty</t>
  </si>
  <si>
    <t>Rebates / incentives / commission</t>
  </si>
  <si>
    <t>Net Revenue</t>
  </si>
  <si>
    <t>Lucky Cement FY2022 annual report; FY2023–FY2025 reports; FY2026 results (FY2025 restated comparative)</t>
  </si>
  <si>
    <t>Cost of Sales</t>
  </si>
  <si>
    <t>Gross Profit</t>
  </si>
  <si>
    <t>Distribution Cost</t>
  </si>
  <si>
    <t>Administrative Expenses</t>
  </si>
  <si>
    <t>Finance Cost</t>
  </si>
  <si>
    <t>Other Expenses</t>
  </si>
  <si>
    <t>Gain on Bargain Purchase</t>
  </si>
  <si>
    <t>Other Income</t>
  </si>
  <si>
    <t>Share of Profit - JV &amp; Associates</t>
  </si>
  <si>
    <t>Profit Before Tax</t>
  </si>
  <si>
    <t>Taxation</t>
  </si>
  <si>
    <t>Profit After Tax</t>
  </si>
  <si>
    <t>Lucky Cement consolidated results</t>
  </si>
  <si>
    <t>EPS (PKR)</t>
  </si>
  <si>
    <t>Lucky Cement consolidated EPS attributable to owners / latest restatement</t>
  </si>
  <si>
    <t>PAT Attributable to Owners</t>
  </si>
  <si>
    <t>Lucky Cement consolidated results; PKR million</t>
  </si>
  <si>
    <t>EPS Attributable to Owners (PKR)</t>
  </si>
  <si>
    <t>Lucky Cement consolidated EPS</t>
  </si>
  <si>
    <t>Cash &amp; Equivalents</t>
  </si>
  <si>
    <t>S&amp;P Global Market Intelligence via StockAnalysis; PKR million except shares/BVPS</t>
  </si>
  <si>
    <t>Short-Term Investments</t>
  </si>
  <si>
    <t>Trading Asset Securities</t>
  </si>
  <si>
    <t>Cash &amp; Short-Term Investments</t>
  </si>
  <si>
    <t>Accounts Receivable</t>
  </si>
  <si>
    <t>Other Receivables</t>
  </si>
  <si>
    <t>Inventory</t>
  </si>
  <si>
    <t>Total Current Assets</t>
  </si>
  <si>
    <t>Property, Plant &amp; Equipment</t>
  </si>
  <si>
    <t>Long-Term Investments</t>
  </si>
  <si>
    <t>Goodwill</t>
  </si>
  <si>
    <t>Other Intangible Assets</t>
  </si>
  <si>
    <t>Total Assets</t>
  </si>
  <si>
    <t>Accounts Payable</t>
  </si>
  <si>
    <t>Short-Term Debt</t>
  </si>
  <si>
    <t>Current Portion Long-Term Debt</t>
  </si>
  <si>
    <t>Total Current Liabilities</t>
  </si>
  <si>
    <t>Long-Term Debt</t>
  </si>
  <si>
    <t>Total Liabilities</t>
  </si>
  <si>
    <t>Total Common Equity</t>
  </si>
  <si>
    <t>Minority Interest</t>
  </si>
  <si>
    <t>Shareholders' Equity</t>
  </si>
  <si>
    <t>Total Debt</t>
  </si>
  <si>
    <t>Working Capital</t>
  </si>
  <si>
    <t>Shares Outstanding (million)</t>
  </si>
  <si>
    <t>Book Value Per Share (PKR)</t>
  </si>
  <si>
    <t>Operating Cash Flow</t>
  </si>
  <si>
    <t>S&amp;P Global Market Intelligence via StockAnalysis; PKR million</t>
  </si>
  <si>
    <t>Capital Expenditures</t>
  </si>
  <si>
    <t>Free Cash Flow</t>
  </si>
  <si>
    <t>Value</t>
  </si>
  <si>
    <t>Date/Period</t>
  </si>
  <si>
    <t>Current Share Price (PKR)</t>
  </si>
  <si>
    <t>S&amp;P Global Market Intelligence via StockAnalysis</t>
  </si>
  <si>
    <t>PSX / Lucky Cement</t>
  </si>
  <si>
    <t>Market Capitalization (PKR bn)</t>
  </si>
  <si>
    <t>20-Aug-2026</t>
  </si>
  <si>
    <t>Calculate in Excel = price × shares</t>
  </si>
  <si>
    <t>Fiscal Year End</t>
  </si>
  <si>
    <t>June 30</t>
  </si>
  <si>
    <t>PSX</t>
  </si>
  <si>
    <t>Ticker</t>
  </si>
  <si>
    <t>LUCK</t>
  </si>
  <si>
    <t>Current</t>
  </si>
  <si>
    <t>Exchange</t>
  </si>
  <si>
    <t>Pakistan Stock Exchange</t>
  </si>
  <si>
    <t>Sector</t>
  </si>
  <si>
    <t>Materials</t>
  </si>
  <si>
    <t>PSX / market data</t>
  </si>
  <si>
    <t>Stock Split</t>
  </si>
  <si>
    <t>5-for-1</t>
  </si>
  <si>
    <t>23-Apr-2025</t>
  </si>
  <si>
    <t>S&amp;P Global Market Intelligence / company disclosures</t>
  </si>
  <si>
    <t>FY2026 Dividend Per Share (PKR)</t>
  </si>
  <si>
    <t>StockAnalysis / company results</t>
  </si>
  <si>
    <t>FY2026 EPS (PKR)</t>
  </si>
  <si>
    <t>Lucky Cement FY2026 results</t>
  </si>
  <si>
    <t>Date</t>
  </si>
  <si>
    <t>Open</t>
  </si>
  <si>
    <t>High</t>
  </si>
  <si>
    <t>Low</t>
  </si>
  <si>
    <t>Close</t>
  </si>
  <si>
    <t>Volume</t>
  </si>
  <si>
    <t>2026-08-19</t>
  </si>
  <si>
    <t>2026-08-18</t>
  </si>
  <si>
    <t>2026-08-17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</si>
  <si>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</si>
  <si>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</si>
  <si>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</si>
  <si>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</si>
  <si>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</si>
  <si>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</si>
  <si>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</si>
  <si>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</si>
  <si>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</si>
  <si>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</si>
  <si>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</si>
  <si>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</si>
  <si>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</si>
  <si>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</si>
  <si>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</si>
  <si>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</si>
  <si>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</si>
  <si>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</si>
  <si>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</si>
  <si>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</si>
  <si>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</si>
  <si>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</si>
  <si>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</si>
  <si>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</si>
  <si>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</si>
  <si>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</si>
  <si>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</si>
  <si>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</si>
  <si>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</si>
  <si>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</si>
  <si>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</si>
  <si>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</si>
  <si>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</si>
  <si>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</si>
  <si>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2026-06-24</t>
  </si>
  <si>
    <t>2026-06-23</t>
  </si>
  <si>
    <t>2026-06-22</t>
  </si>
  <si>
    <t>2026-06-19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</si>
  <si>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</si>
  <si>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</si>
  <si>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</si>
  <si>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</si>
  <si>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</si>
  <si>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</si>
  <si>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</si>
  <si>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</si>
  <si>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</si>
  <si>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Segment</t>
  </si>
  <si>
    <t>Cement</t>
  </si>
  <si>
    <t>StockAnalysis / S&amp;P Global Market Intelligence</t>
  </si>
  <si>
    <t>Polyester</t>
  </si>
  <si>
    <t>Soda Ash</t>
  </si>
  <si>
    <t>Pharma</t>
  </si>
  <si>
    <t>Life Sciences &amp; Chemicals</t>
  </si>
  <si>
    <t>Automobiles &amp; Mobile Phones Assembling</t>
  </si>
  <si>
    <t>Power Generation</t>
  </si>
  <si>
    <t>Others</t>
  </si>
  <si>
    <t>Inter-segment eliminations</t>
  </si>
  <si>
    <t>Input</t>
  </si>
  <si>
    <t>Unit</t>
  </si>
  <si>
    <t>Status</t>
  </si>
  <si>
    <t>Source/Note</t>
  </si>
  <si>
    <t>Current share price</t>
  </si>
  <si>
    <t>PKR/share</t>
  </si>
  <si>
    <t>Observed</t>
  </si>
  <si>
    <t>Shares outstanding</t>
  </si>
  <si>
    <t>million</t>
  </si>
  <si>
    <t>PSX / FY2026</t>
  </si>
  <si>
    <t>FY2026 Net Revenue</t>
  </si>
  <si>
    <t>PKR million</t>
  </si>
  <si>
    <t>Historical</t>
  </si>
  <si>
    <t>FY2026 results</t>
  </si>
  <si>
    <t>FY2026 Profit After Tax</t>
  </si>
  <si>
    <t>FY2026 Operating Cash Flow</t>
  </si>
  <si>
    <t>S&amp;P Global / StockAnalysis</t>
  </si>
  <si>
    <t>FY2026 CapEx</t>
  </si>
  <si>
    <t>FY2026 Free Cash Flow</t>
  </si>
  <si>
    <t>FY2026 Total Debt</t>
  </si>
  <si>
    <t>FY2026 Cash &amp; Investments</t>
  </si>
  <si>
    <t>Tax rate</t>
  </si>
  <si>
    <t>%</t>
  </si>
  <si>
    <t>To be calculated</t>
  </si>
  <si>
    <t>Use project methodology; do not assume yet</t>
  </si>
  <si>
    <t>Risk-free rate</t>
  </si>
  <si>
    <t>To be researched</t>
  </si>
  <si>
    <t>Use current Pakistan government benchmark</t>
  </si>
  <si>
    <t>Beta</t>
  </si>
  <si>
    <t>x</t>
  </si>
  <si>
    <t>Use consistent market-data source</t>
  </si>
  <si>
    <t>Equity risk premium</t>
  </si>
  <si>
    <t>Use chosen methodology</t>
  </si>
  <si>
    <t>Cost of debt</t>
  </si>
  <si>
    <t>To be calculated/researched</t>
  </si>
  <si>
    <t>Use company financial data</t>
  </si>
  <si>
    <t>WACC</t>
  </si>
  <si>
    <t>Excel model</t>
  </si>
  <si>
    <t>Lucky Cement -Financial Analysis</t>
  </si>
  <si>
    <t>FY2022-FY2026</t>
  </si>
  <si>
    <t>Revenue Growth</t>
  </si>
  <si>
    <t>Gross Profit Margin</t>
  </si>
  <si>
    <t>Operating Profit Margin</t>
  </si>
  <si>
    <t>Net Profit Margin</t>
  </si>
  <si>
    <t>ROE</t>
  </si>
  <si>
    <t>ROA</t>
  </si>
  <si>
    <t>Debt-to-Equity</t>
  </si>
  <si>
    <t>Current Ratio</t>
  </si>
  <si>
    <t>EPS Growth</t>
  </si>
  <si>
    <t>matric</t>
  </si>
  <si>
    <t>N/A</t>
  </si>
  <si>
    <t>metric</t>
  </si>
  <si>
    <t>DCF Forecast</t>
  </si>
  <si>
    <t>FY2027</t>
  </si>
  <si>
    <t>FY2028</t>
  </si>
  <si>
    <t>FY2029</t>
  </si>
  <si>
    <t>FY2030</t>
  </si>
  <si>
    <t>FY2031</t>
  </si>
  <si>
    <t>EBITDA Margin</t>
  </si>
  <si>
    <t xml:space="preserve">EBITDA </t>
  </si>
  <si>
    <t>D&amp;A(% OF REVENUE)</t>
  </si>
  <si>
    <t>D&amp;A</t>
  </si>
  <si>
    <t>EBIT</t>
  </si>
  <si>
    <t>Tax Rate</t>
  </si>
  <si>
    <t>Tax Expense</t>
  </si>
  <si>
    <t>NOPAT</t>
  </si>
  <si>
    <t>CapEx (% of Revenue)</t>
  </si>
  <si>
    <t>Change in NWC (% of Revenue)</t>
  </si>
  <si>
    <t xml:space="preserve">CapEx </t>
  </si>
  <si>
    <t xml:space="preserve">Change in NWC </t>
  </si>
  <si>
    <t>FCFF</t>
  </si>
  <si>
    <t>Year</t>
  </si>
  <si>
    <t>Discount Factor</t>
  </si>
  <si>
    <t>PV of FCFF</t>
  </si>
  <si>
    <t>Terminal Growth Rate</t>
  </si>
  <si>
    <t>Terminal Value</t>
  </si>
  <si>
    <t>PV of Terminal Value</t>
  </si>
  <si>
    <t>Enterprise Value</t>
  </si>
  <si>
    <t>Net Debt</t>
  </si>
  <si>
    <t>Equity Value</t>
  </si>
  <si>
    <t>Shares outstanding (million)</t>
  </si>
  <si>
    <t>Intrinsic Value Per Share</t>
  </si>
  <si>
    <t>Current Market Price</t>
  </si>
  <si>
    <t>Upside / (Downside) %</t>
  </si>
  <si>
    <t>Sensitivity Analysis_WACC vs Terminal Growth</t>
  </si>
  <si>
    <t>Terminal Growth / WACC</t>
  </si>
  <si>
    <t>A</t>
  </si>
  <si>
    <t>B</t>
  </si>
  <si>
    <t>Valuation Metric</t>
  </si>
  <si>
    <t>Enterprise value</t>
  </si>
  <si>
    <t>Equity value</t>
  </si>
  <si>
    <t>Label:Upside  / (Downside)</t>
  </si>
  <si>
    <t>Key Assumptions &amp; Conclusion</t>
  </si>
  <si>
    <t>Key Assumptions</t>
  </si>
  <si>
    <t>Assumption</t>
  </si>
  <si>
    <t>Forecast Period</t>
  </si>
  <si>
    <t>Upside  / (Downside)</t>
  </si>
  <si>
    <t>2026-2030</t>
  </si>
  <si>
    <t>Conclusion</t>
  </si>
  <si>
    <t>Based on the DCF model,Lucky Cement's intrinsic value per share is Rs.208.33</t>
  </si>
  <si>
    <t>compared with the current market price of Rs.436.66,implying a downside of</t>
  </si>
  <si>
    <t>52.29%. Under the base-case assumptions, the stock appears overvalued.</t>
  </si>
  <si>
    <t>Lucky Cement_Financial Analysis Dashboard</t>
  </si>
  <si>
    <t>FY2022_FY2026</t>
  </si>
  <si>
    <t>REVENUE</t>
  </si>
  <si>
    <t>NET PROFIT MARGIN</t>
  </si>
  <si>
    <t>EPS</t>
  </si>
  <si>
    <t>INTRINSIC VALUE</t>
  </si>
  <si>
    <t>Company OVERVIEW</t>
  </si>
  <si>
    <t>Company Name</t>
  </si>
  <si>
    <t>Lucky Cement Limited</t>
  </si>
  <si>
    <t>Industry</t>
  </si>
  <si>
    <t>Fiscal Year</t>
  </si>
  <si>
    <t>Stock Symbol</t>
  </si>
  <si>
    <t>Financial Performance</t>
  </si>
  <si>
    <t>PAT</t>
  </si>
  <si>
    <t>YEAR</t>
  </si>
  <si>
    <t>DCF VALUATION</t>
  </si>
  <si>
    <t>PKR 481.3 BN</t>
  </si>
  <si>
    <t>PKR 305.2 BN</t>
  </si>
  <si>
    <t>Intrinsic Value</t>
  </si>
  <si>
    <t>PKR 208.33</t>
  </si>
  <si>
    <t>Market Price</t>
  </si>
  <si>
    <t>PKR 436.66</t>
  </si>
  <si>
    <t>Valuation</t>
  </si>
  <si>
    <t>PKR/Share</t>
  </si>
  <si>
    <t>DCF KEY ASSUMPTIONS</t>
  </si>
  <si>
    <t>Terminal Growth</t>
  </si>
  <si>
    <t>Upside/ Downside</t>
  </si>
  <si>
    <t>DCF Conclusion BOX</t>
  </si>
  <si>
    <t>DCF indicates the stock is overvalued at the</t>
  </si>
  <si>
    <t>current market price.</t>
  </si>
  <si>
    <t>SENSITIVITY ANALYSIS</t>
  </si>
  <si>
    <t>WACC / Growth</t>
  </si>
  <si>
    <t>VALUATION RANGE</t>
  </si>
  <si>
    <t>Lowest Intrinsic Value</t>
  </si>
  <si>
    <t>Highest Intrinsic Value</t>
  </si>
  <si>
    <t>Higher terminal growth and lower WACC increase intrinsic value</t>
  </si>
  <si>
    <t>STOCK PRICE / MARKET VIEW</t>
  </si>
  <si>
    <t>Stock Price</t>
  </si>
  <si>
    <t>Daily Return</t>
  </si>
  <si>
    <t>13-8-2026</t>
  </si>
  <si>
    <t>17-8-2026</t>
  </si>
  <si>
    <t>18-8-2026</t>
  </si>
  <si>
    <t>19-8-2026</t>
  </si>
  <si>
    <t>20-8-2026</t>
  </si>
  <si>
    <t>21-8-2026</t>
  </si>
  <si>
    <t>24-8-2026</t>
  </si>
  <si>
    <t>25-8-2026</t>
  </si>
  <si>
    <t>27-8-2026</t>
  </si>
  <si>
    <t>CURRENT PRICE</t>
  </si>
  <si>
    <t>52-WEEK HIGH</t>
  </si>
  <si>
    <t>52-WEEK LOW</t>
  </si>
  <si>
    <t>52-WEEK RANGE POSITION</t>
  </si>
  <si>
    <t>FINAL INVESTMENT CONCLUSION</t>
  </si>
  <si>
    <t>VALUATION SIGNAL</t>
  </si>
  <si>
    <t>OVERVALUED</t>
  </si>
  <si>
    <t>FINANCIAL PERFORMANCE</t>
  </si>
  <si>
    <t>FINANCIAL PERFORMANCE STRONG</t>
  </si>
  <si>
    <t>FINAL INVESTMENT  VIEW</t>
  </si>
  <si>
    <t>HOLD / WAIT FOR BETTER ENTRY</t>
  </si>
  <si>
    <t>INVESTMENT SUMMARY</t>
  </si>
  <si>
    <t>LUCKY CEMENT_CASE STUDY</t>
  </si>
  <si>
    <t>PROBLEM</t>
  </si>
  <si>
    <t>Assess Lucky Cement’s financial performance and determine whether its current market price</t>
  </si>
  <si>
    <t>is justified by its intrinsic value.</t>
  </si>
  <si>
    <t>METHOD</t>
  </si>
  <si>
    <t>Analyzed FY2022_FY2026 financial performance,profitability and EPS trends,</t>
  </si>
  <si>
    <t>followed by DCF valuation and sensitivity analysis.</t>
  </si>
  <si>
    <t>INSIGHT</t>
  </si>
  <si>
    <t>Financial performance remains strong,but the DCF estimates an intrinsic value of PKR 208.33</t>
  </si>
  <si>
    <t>versus a market price of approximately PKR 436.66, indicating significant overvaluation.</t>
  </si>
  <si>
    <t>RECOMMENDATION</t>
  </si>
  <si>
    <t>future fundamentals support a higher intrinsic value.</t>
  </si>
  <si>
    <r>
      <rPr>
        <sz val="16"/>
        <color rgb="FFFF0000"/>
        <rFont val="Calibri"/>
        <family val="2"/>
        <scheme val="minor"/>
      </rPr>
      <t>Hold / Wait for a Better Entry</t>
    </r>
    <r>
      <rPr>
        <sz val="16"/>
        <color theme="1"/>
        <rFont val="Calibri"/>
        <family val="2"/>
        <scheme val="minor"/>
      </rPr>
      <t>.Consider investing at a more attractive valuation or if</t>
    </r>
  </si>
  <si>
    <t xml:space="preserve">Lucky Cement demonstrates strong financial performance ,but the DCF valuation indicates that </t>
  </si>
  <si>
    <t>investors may consider waiting for a more attractive entry price.</t>
  </si>
  <si>
    <r>
      <t xml:space="preserve">the </t>
    </r>
    <r>
      <rPr>
        <sz val="28"/>
        <color rgb="FFFF0000"/>
        <rFont val="Calibri"/>
        <family val="2"/>
        <scheme val="minor"/>
      </rPr>
      <t>current market price is significantly above the estimated intrinsic value</t>
    </r>
    <r>
      <rPr>
        <sz val="28"/>
        <color theme="1"/>
        <rFont val="Calibri"/>
        <family val="2"/>
        <scheme val="minor"/>
      </rPr>
      <t>.Therefore,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</si>
</sst>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"/>
    <numFmt numFmtId="165" formatCode="0.000"/>
    <numFmt numFmtId="166" formatCode="0.0"/>
    <numFmt numFmtId="167" formatCode="0.0%"/>
  </numFmts>
  <fonts count="3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u/>
      <sz val="2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20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4" fillId="2" borderId="0" xfId="0" applyFont="1" applyFill="1" applyAlignment="1">
      <alignment vertical="top"/>
    </xf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3" borderId="0" xfId="0" applyFont="1" applyFill="1"/>
    <xf numFmtId="10" fontId="0" fillId="0" borderId="0" xfId="0" applyNumberFormat="1" applyFont="1" applyFill="1"/>
    <xf numFmtId="10" fontId="0" fillId="0" borderId="0" xfId="0" applyNumberFormat="1" applyAlignment="1">
      <alignment vertical="top"/>
    </xf>
    <xf numFmtId="166" fontId="0" fillId="0" borderId="0" xfId="0" applyNumberFormat="1"/>
    <xf numFmtId="0" fontId="0" fillId="0" borderId="2" xfId="0" applyFont="1" applyFill="1" applyBorder="1"/>
    <xf numFmtId="0" fontId="0" fillId="7" borderId="0" xfId="0" applyFill="1"/>
    <xf numFmtId="0" fontId="6" fillId="0" borderId="0" xfId="0" applyFont="1"/>
    <xf numFmtId="0" fontId="0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8" fillId="8" borderId="0" xfId="0" applyFont="1" applyFill="1"/>
    <xf numFmtId="0" fontId="10" fillId="0" borderId="0" xfId="0" applyFont="1" applyAlignment="1">
      <alignment vertical="top"/>
    </xf>
    <xf numFmtId="10" fontId="9" fillId="0" borderId="0" xfId="0" applyNumberFormat="1" applyFont="1"/>
    <xf numFmtId="0" fontId="0" fillId="0" borderId="1" xfId="0" applyFont="1" applyFill="1" applyBorder="1"/>
    <xf numFmtId="2" fontId="0" fillId="0" borderId="3" xfId="0" applyNumberFormat="1" applyBorder="1" applyAlignment="1">
      <alignment vertical="top"/>
    </xf>
    <xf numFmtId="9" fontId="0" fillId="0" borderId="3" xfId="1" applyFont="1" applyBorder="1" applyAlignment="1">
      <alignment vertical="top"/>
    </xf>
    <xf numFmtId="167" fontId="0" fillId="0" borderId="3" xfId="1" applyNumberFormat="1" applyFont="1" applyBorder="1" applyAlignment="1">
      <alignment vertical="top"/>
    </xf>
    <xf numFmtId="0" fontId="7" fillId="3" borderId="1" xfId="0" applyFont="1" applyFill="1" applyBorder="1" applyAlignment="1">
      <alignment vertical="center"/>
    </xf>
    <xf numFmtId="2" fontId="9" fillId="8" borderId="3" xfId="0" applyNumberFormat="1" applyFont="1" applyFill="1" applyBorder="1" applyAlignment="1">
      <alignment vertical="top"/>
    </xf>
    <xf numFmtId="10" fontId="9" fillId="0" borderId="0" xfId="0" applyNumberFormat="1" applyFont="1" applyBorder="1" applyAlignment="1"/>
    <xf numFmtId="0" fontId="9" fillId="7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Border="1"/>
    <xf numFmtId="0" fontId="14" fillId="0" borderId="0" xfId="0" applyFont="1" applyAlignment="1">
      <alignment horizontal="center"/>
    </xf>
    <xf numFmtId="0" fontId="2" fillId="0" borderId="13" xfId="0" applyFont="1" applyBorder="1" applyAlignment="1"/>
    <xf numFmtId="0" fontId="2" fillId="0" borderId="12" xfId="0" applyFont="1" applyBorder="1" applyAlignment="1"/>
    <xf numFmtId="0" fontId="12" fillId="0" borderId="0" xfId="0" applyFont="1"/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10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0" fontId="11" fillId="0" borderId="5" xfId="0" applyNumberFormat="1" applyFont="1" applyBorder="1" applyAlignment="1">
      <alignment horizontal="center"/>
    </xf>
    <xf numFmtId="2" fontId="11" fillId="0" borderId="5" xfId="1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0" fontId="13" fillId="7" borderId="3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10" fontId="8" fillId="0" borderId="6" xfId="0" applyNumberFormat="1" applyFont="1" applyBorder="1"/>
    <xf numFmtId="10" fontId="8" fillId="0" borderId="8" xfId="0" applyNumberFormat="1" applyFont="1" applyBorder="1"/>
    <xf numFmtId="10" fontId="8" fillId="0" borderId="10" xfId="0" applyNumberFormat="1" applyFont="1" applyBorder="1"/>
    <xf numFmtId="10" fontId="7" fillId="0" borderId="7" xfId="0" applyNumberFormat="1" applyFont="1" applyBorder="1"/>
    <xf numFmtId="10" fontId="7" fillId="0" borderId="9" xfId="0" applyNumberFormat="1" applyFont="1" applyBorder="1"/>
    <xf numFmtId="10" fontId="7" fillId="0" borderId="11" xfId="0" applyNumberFormat="1" applyFont="1" applyBorder="1"/>
    <xf numFmtId="167" fontId="14" fillId="0" borderId="3" xfId="1" applyNumberFormat="1" applyFont="1" applyBorder="1" applyAlignment="1">
      <alignment horizontal="center"/>
    </xf>
    <xf numFmtId="167" fontId="13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  <xf numFmtId="43" fontId="3" fillId="0" borderId="0" xfId="2" applyFont="1" applyAlignment="1">
      <alignment horizontal="center"/>
    </xf>
    <xf numFmtId="0" fontId="7" fillId="0" borderId="6" xfId="0" applyFont="1" applyBorder="1" applyAlignment="1"/>
    <xf numFmtId="0" fontId="7" fillId="0" borderId="10" xfId="0" applyFont="1" applyBorder="1" applyAlignment="1"/>
    <xf numFmtId="0" fontId="14" fillId="0" borderId="7" xfId="0" applyFont="1" applyBorder="1" applyAlignment="1"/>
    <xf numFmtId="0" fontId="14" fillId="0" borderId="11" xfId="0" applyFont="1" applyBorder="1" applyAlignment="1"/>
    <xf numFmtId="0" fontId="15" fillId="0" borderId="0" xfId="0" applyFont="1"/>
    <xf numFmtId="0" fontId="11" fillId="3" borderId="0" xfId="0" applyFont="1" applyFill="1"/>
    <xf numFmtId="0" fontId="8" fillId="6" borderId="0" xfId="0" applyFont="1" applyFill="1"/>
    <xf numFmtId="10" fontId="15" fillId="0" borderId="0" xfId="0" applyNumberFormat="1" applyFont="1"/>
    <xf numFmtId="2" fontId="15" fillId="0" borderId="0" xfId="0" applyNumberFormat="1" applyFont="1"/>
    <xf numFmtId="9" fontId="15" fillId="0" borderId="0" xfId="1" applyFont="1"/>
    <xf numFmtId="0" fontId="23" fillId="0" borderId="0" xfId="0" applyFont="1" applyAlignment="1">
      <alignment horizontal="center"/>
    </xf>
    <xf numFmtId="0" fontId="28" fillId="9" borderId="0" xfId="0" applyFont="1" applyFill="1" applyAlignment="1">
      <alignment horizontal="center"/>
    </xf>
    <xf numFmtId="0" fontId="23" fillId="9" borderId="0" xfId="0" applyFont="1" applyFill="1" applyAlignment="1">
      <alignment horizontal="center"/>
    </xf>
    <xf numFmtId="0" fontId="28" fillId="9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0" fontId="8" fillId="11" borderId="8" xfId="0" applyFont="1" applyFill="1" applyBorder="1" applyAlignment="1"/>
    <xf numFmtId="0" fontId="8" fillId="11" borderId="0" xfId="0" applyFont="1" applyFill="1" applyBorder="1" applyAlignment="1"/>
    <xf numFmtId="0" fontId="26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28" fillId="9" borderId="0" xfId="0" applyFont="1" applyFill="1" applyAlignment="1">
      <alignment horizontal="center"/>
    </xf>
    <xf numFmtId="0" fontId="13" fillId="7" borderId="4" xfId="0" applyFont="1" applyFill="1" applyBorder="1" applyAlignment="1">
      <alignment horizontal="center"/>
    </xf>
    <xf numFmtId="10" fontId="13" fillId="7" borderId="4" xfId="0" applyNumberFormat="1" applyFont="1" applyFill="1" applyBorder="1" applyAlignment="1">
      <alignment horizontal="center"/>
    </xf>
    <xf numFmtId="10" fontId="13" fillId="7" borderId="4" xfId="1" applyNumberFormat="1" applyFont="1" applyFill="1" applyBorder="1" applyAlignment="1">
      <alignment horizontal="center"/>
    </xf>
    <xf numFmtId="2" fontId="13" fillId="7" borderId="4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10" fontId="26" fillId="7" borderId="6" xfId="1" applyNumberFormat="1" applyFont="1" applyFill="1" applyBorder="1" applyAlignment="1">
      <alignment horizontal="center"/>
    </xf>
    <xf numFmtId="10" fontId="26" fillId="7" borderId="13" xfId="1" applyNumberFormat="1" applyFont="1" applyFill="1" applyBorder="1" applyAlignment="1">
      <alignment horizontal="center"/>
    </xf>
    <xf numFmtId="10" fontId="26" fillId="7" borderId="7" xfId="1" applyNumberFormat="1" applyFont="1" applyFill="1" applyBorder="1" applyAlignment="1">
      <alignment horizontal="center"/>
    </xf>
    <xf numFmtId="10" fontId="26" fillId="7" borderId="8" xfId="1" applyNumberFormat="1" applyFont="1" applyFill="1" applyBorder="1" applyAlignment="1">
      <alignment horizontal="center"/>
    </xf>
    <xf numFmtId="10" fontId="26" fillId="7" borderId="0" xfId="1" applyNumberFormat="1" applyFont="1" applyFill="1" applyBorder="1" applyAlignment="1">
      <alignment horizontal="center"/>
    </xf>
    <xf numFmtId="10" fontId="26" fillId="7" borderId="9" xfId="1" applyNumberFormat="1" applyFont="1" applyFill="1" applyBorder="1" applyAlignment="1">
      <alignment horizontal="center"/>
    </xf>
    <xf numFmtId="2" fontId="11" fillId="7" borderId="10" xfId="0" applyNumberFormat="1" applyFont="1" applyFill="1" applyBorder="1" applyAlignment="1">
      <alignment horizontal="center"/>
    </xf>
    <xf numFmtId="2" fontId="11" fillId="7" borderId="11" xfId="0" applyNumberFormat="1" applyFont="1" applyFill="1" applyBorder="1" applyAlignment="1">
      <alignment horizontal="center"/>
    </xf>
    <xf numFmtId="10" fontId="11" fillId="7" borderId="10" xfId="0" applyNumberFormat="1" applyFont="1" applyFill="1" applyBorder="1" applyAlignment="1">
      <alignment horizontal="center"/>
    </xf>
    <xf numFmtId="10" fontId="11" fillId="7" borderId="11" xfId="0" applyNumberFormat="1" applyFont="1" applyFill="1" applyBorder="1" applyAlignment="1">
      <alignment horizontal="center"/>
    </xf>
    <xf numFmtId="10" fontId="26" fillId="7" borderId="10" xfId="1" applyNumberFormat="1" applyFont="1" applyFill="1" applyBorder="1" applyAlignment="1">
      <alignment horizontal="center"/>
    </xf>
    <xf numFmtId="10" fontId="26" fillId="7" borderId="12" xfId="1" applyNumberFormat="1" applyFont="1" applyFill="1" applyBorder="1" applyAlignment="1">
      <alignment horizontal="center"/>
    </xf>
    <xf numFmtId="10" fontId="26" fillId="7" borderId="11" xfId="1" applyNumberFormat="1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9" fillId="4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Valuation Summary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'DCF Inputs - Raw'!$C$54:$C$55</c:f>
              <c:strCache>
                <c:ptCount val="2"/>
                <c:pt idx="0">
                  <c:v>B</c:v>
                </c:pt>
                <c:pt idx="1">
                  <c:v>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'DCF Inputs - Raw'!$B$56:$B$58</c:f>
              <c:strCache>
                <c:ptCount val="3"/>
                <c:pt idx="0">
                  <c:v>Enterprise value</c:v>
                </c:pt>
                <c:pt idx="1">
                  <c:v>Equity value</c:v>
                </c:pt>
                <c:pt idx="2">
                  <c:v>Intrinsic Value Per Share</c:v>
                </c:pt>
              </c:strCache>
            </c:strRef>
          </c:cat>
          <c:val>
            <c:numRef>
              <c:f>'DCF Inputs - Raw'!$C$56:$C$58</c:f>
              <c:numCache>
                <c:formatCode>General</c:formatCode>
                <c:ptCount val="3"/>
                <c:pt idx="0">
                  <c:v>481.3</c:v>
                </c:pt>
                <c:pt idx="1">
                  <c:v>305.2</c:v>
                </c:pt>
                <c:pt idx="2">
                  <c:v>208.33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D-429D-8886-8267AFC4F9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17177824"/>
        <c:axId val="417170608"/>
        <c:axId val="0"/>
      </c:bar3DChart>
      <c:catAx>
        <c:axId val="4171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0608"/>
        <c:crosses val="autoZero"/>
        <c:auto val="1"/>
        <c:lblAlgn val="ctr"/>
        <c:lblOffset val="100"/>
        <c:noMultiLvlLbl val="0"/>
      </c:catAx>
      <c:valAx>
        <c:axId val="4171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7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 Market Price</a:t>
            </a:r>
          </a:p>
        </c:rich>
      </c:tx>
      <c:layout>
        <c:manualLayout>
          <c:xMode val="edge"/>
          <c:yMode val="edge"/>
          <c:x val="0.2381041119860017"/>
          <c:y val="4.9382740051881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'DCF Inputs - Raw'!$C$66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'DCF Inputs - Raw'!$B$67:$B$68</c:f>
              <c:strCache>
                <c:ptCount val="2"/>
                <c:pt idx="0">
                  <c:v>Intrinsic Value Per Share</c:v>
                </c:pt>
                <c:pt idx="1">
                  <c:v>Current Market Price</c:v>
                </c:pt>
              </c:strCache>
            </c:strRef>
          </c:cat>
          <c:val>
            <c:numRef>
              <c:f>'DCF Inputs - Raw'!$C$67:$C$68</c:f>
              <c:numCache>
                <c:formatCode>General</c:formatCode>
                <c:ptCount val="2"/>
                <c:pt idx="0">
                  <c:v>208.33</c:v>
                </c:pt>
                <c:pt idx="1">
                  <c:v>436.66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7-4531-867D-1EBCF8598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29161224"/>
        <c:axId val="429164176"/>
        <c:axId val="0"/>
      </c:bar3DChart>
      <c:catAx>
        <c:axId val="429161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64176"/>
        <c:crosses val="autoZero"/>
        <c:auto val="1"/>
        <c:lblAlgn val="ctr"/>
        <c:lblOffset val="100"/>
        <c:noMultiLvlLbl val="0"/>
      </c:catAx>
      <c:valAx>
        <c:axId val="4291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61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'Financial analysis'!$C$4:$F$4</c:f>
              <c:strCache>
                <c:ptCount val="4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</c:strCache>
            </c:strRef>
          </c:cat>
          <c:val>
            <c:numRef>
              <c:f>'Financial analysis'!$C$5:$F$5</c:f>
              <c:numCache>
                <c:formatCode>0.00%</c:formatCode>
                <c:ptCount val="4"/>
                <c:pt idx="0">
                  <c:v>0.16189807140371992</c:v>
                </c:pt>
                <c:pt idx="1">
                  <c:v>6.7172941694172428E-2</c:v>
                </c:pt>
                <c:pt idx="2">
                  <c:v>0.10478172197945201</c:v>
                </c:pt>
                <c:pt idx="3">
                  <c:v>0.13720400313821091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7-42B5-AE61-D13B377BC4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28887672"/>
        <c:axId val="528893248"/>
        <c:axId val="0"/>
      </c:bar3DChart>
      <c:catAx>
        <c:axId val="52888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93248"/>
        <c:crosses val="autoZero"/>
        <c:auto val="1"/>
        <c:lblAlgn val="ctr"/>
        <c:lblOffset val="100"/>
        <c:noMultiLvlLbl val="0"/>
      </c:catAx>
      <c:valAx>
        <c:axId val="5288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87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Margin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'Financial analysis'!$B$4:$F$4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'Financial analysis'!$B$7:$F$7</c:f>
              <c:numCache>
                <c:formatCode>0.00%</c:formatCode>
                <c:ptCount val="5"/>
                <c:pt idx="0">
                  <c:v>0.13753022162888878</c:v>
                </c:pt>
                <c:pt idx="1">
                  <c:v>0.19810505722021182</c:v>
                </c:pt>
                <c:pt idx="2">
                  <c:v>0.24350256679285701</c:v>
                </c:pt>
                <c:pt idx="3">
                  <c:v>0.2254206242882025</c:v>
                </c:pt>
                <c:pt idx="4">
                  <c:v>0.20485752299867313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9-4882-8CAC-B041F61F8F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40558320"/>
        <c:axId val="440543888"/>
        <c:axId val="0"/>
      </c:bar3DChart>
      <c:catAx>
        <c:axId val="4405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43888"/>
        <c:crosses val="autoZero"/>
        <c:auto val="1"/>
        <c:lblAlgn val="ctr"/>
        <c:lblOffset val="100"/>
        <c:noMultiLvlLbl val="0"/>
      </c:catAx>
      <c:valAx>
        <c:axId val="4405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5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/>
              <a:t>Revenue &amp; Profit After Tax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Dashboard!$J$16:$J$20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Dashboard!$K$16:$K$20</c:f>
              <c:numCache>
                <c:formatCode>General</c:formatCode>
                <c:ptCount val="5"/>
                <c:pt idx="0">
                  <c:v>331.46199999999999</c:v>
                </c:pt>
                <c:pt idx="1">
                  <c:v>385.125</c:v>
                </c:pt>
                <c:pt idx="2">
                  <c:v>410.995</c:v>
                </c:pt>
                <c:pt idx="3">
                  <c:v>454.06</c:v>
                </c:pt>
                <c:pt idx="4">
                  <c:v>516.35900000000004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D-49E4-886C-457BD3206D1A}"/>
            </c:ext>
          </c:extLst>
        </c:ser>
        <c:ser>
          <c:idx val="1"/>
          <c:order val="1"/>
          <c:tx>
            <c:strRef>
              <c:f>Dashboard!$L$15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Dashboard!$J$16:$J$20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Dashboard!$L$16:$L$20</c:f>
              <c:numCache>
                <c:formatCode>General</c:formatCode>
                <c:ptCount val="5"/>
                <c:pt idx="0">
                  <c:v>36.423000000000002</c:v>
                </c:pt>
                <c:pt idx="1">
                  <c:v>48.758000000000003</c:v>
                </c:pt>
                <c:pt idx="2">
                  <c:v>72.337000000000003</c:v>
                </c:pt>
                <c:pt idx="3">
                  <c:v>84.498000000000005</c:v>
                </c:pt>
                <c:pt idx="4">
                  <c:v>96.456000000000003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D-49E4-886C-457BD3206D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5777144"/>
        <c:axId val="395785344"/>
      </c:barChart>
      <c:catAx>
        <c:axId val="39577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785344"/>
        <c:crosses val="autoZero"/>
        <c:auto val="1"/>
        <c:lblAlgn val="ctr"/>
        <c:lblOffset val="100"/>
        <c:noMultiLvlLbl val="0"/>
      </c:catAx>
      <c:valAx>
        <c:axId val="3957853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577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EPS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Dashboard!$K$22</c:f>
              <c:strCache>
                <c:ptCount val="1"/>
                <c:pt idx="0">
                  <c:v>EPS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Dashboard!$J$23:$J$27</c:f>
              <c:strCache>
                <c:ptCount val="5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  <c:pt idx="4">
                  <c:v>FY2026</c:v>
                </c:pt>
              </c:strCache>
            </c:strRef>
          </c:cat>
          <c:val>
            <c:numRef>
              <c:f>Dashboard!$K$23:$K$27</c:f>
              <c:numCache>
                <c:formatCode>General</c:formatCode>
                <c:ptCount val="5"/>
                <c:pt idx="0">
                  <c:v>91.22</c:v>
                </c:pt>
                <c:pt idx="1">
                  <c:v>30.59</c:v>
                </c:pt>
                <c:pt idx="2">
                  <c:v>44.1</c:v>
                </c:pt>
                <c:pt idx="3">
                  <c:v>52.53</c:v>
                </c:pt>
                <c:pt idx="4">
                  <c:v>60.78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7-45EE-AE5C-5E78F92874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97003480"/>
        <c:axId val="397001184"/>
      </c:lineChart>
      <c:catAx>
        <c:axId val="39700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01184"/>
        <c:crosses val="autoZero"/>
        <c:auto val="1"/>
        <c:lblAlgn val="ctr"/>
        <c:lblOffset val="100"/>
        <c:noMultiLvlLbl val="0"/>
      </c:catAx>
      <c:valAx>
        <c:axId val="3970011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7003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0"/>
              <a:t>DCF Valuation vs Market Price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Dashboard!$K$33</c:f>
              <c:strCache>
                <c:ptCount val="1"/>
                <c:pt idx="0">
                  <c:v>PKR/Share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Dashboard!$J$34:$J$35</c:f>
              <c:strCache>
                <c:ptCount val="2"/>
                <c:pt idx="0">
                  <c:v>Intrinsic Value</c:v>
                </c:pt>
                <c:pt idx="1">
                  <c:v>Market Price</c:v>
                </c:pt>
              </c:strCache>
            </c:strRef>
          </c:cat>
          <c:val>
            <c:numRef>
              <c:f>Dashboard!$K$34:$K$35</c:f>
              <c:numCache>
                <c:formatCode>General</c:formatCode>
                <c:ptCount val="2"/>
                <c:pt idx="0">
                  <c:v>208.33</c:v>
                </c:pt>
                <c:pt idx="1">
                  <c:v>436.66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63A-94A0-AF2C62FFD1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54630120"/>
        <c:axId val="654626184"/>
        <c:axId val="0"/>
      </c:bar3DChart>
      <c:catAx>
        <c:axId val="65463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26184"/>
        <c:crosses val="autoZero"/>
        <c:auto val="1"/>
        <c:lblAlgn val="ctr"/>
        <c:lblOffset val="100"/>
        <c:noMultiLvlLbl val="0"/>
      </c:catAx>
      <c:valAx>
        <c:axId val="65462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/>
              <a:t>LUCK Stock Price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Dashboard!$B$66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Dashboard!$A$67:$A$75</c:f>
              <c:strCache>
                <c:ptCount val="9"/>
                <c:pt idx="0">
                  <c:v>13-8-2026</c:v>
                </c:pt>
                <c:pt idx="1">
                  <c:v>17-8-2026</c:v>
                </c:pt>
                <c:pt idx="2">
                  <c:v>18-8-2026</c:v>
                </c:pt>
                <c:pt idx="3">
                  <c:v>19-8-2026</c:v>
                </c:pt>
                <c:pt idx="4">
                  <c:v>20-8-2026</c:v>
                </c:pt>
                <c:pt idx="5">
                  <c:v>21-8-2026</c:v>
                </c:pt>
                <c:pt idx="6">
                  <c:v>24-8-2026</c:v>
                </c:pt>
                <c:pt idx="7">
                  <c:v>25-8-2026</c:v>
                </c:pt>
                <c:pt idx="8">
                  <c:v>27-8-2026</c:v>
                </c:pt>
              </c:strCache>
            </c:strRef>
          </c:cat>
          <c:val>
            <c:numRef>
              <c:f>Dashboard!$B$67:$B$75</c:f>
              <c:numCache>
                <c:formatCode>General</c:formatCode>
                <c:ptCount val="9"/>
                <c:pt idx="0">
                  <c:v>446.61</c:v>
                </c:pt>
                <c:pt idx="1">
                  <c:v>443.37</c:v>
                </c:pt>
                <c:pt idx="2">
                  <c:v>439.3</c:v>
                </c:pt>
                <c:pt idx="3">
                  <c:v>437.2</c:v>
                </c:pt>
                <c:pt idx="4">
                  <c:v>436.66</c:v>
                </c:pt>
                <c:pt idx="5">
                  <c:v>440.41</c:v>
                </c:pt>
                <c:pt idx="6">
                  <c:v>440.03</c:v>
                </c:pt>
                <c:pt idx="7">
                  <c:v>442.69</c:v>
                </c:pt>
                <c:pt idx="8">
                  <c:v>440.9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1-4AF1-8D87-E8D698528B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59383752"/>
        <c:axId val="659378176"/>
        <c:axId val="0"/>
      </c:bar3DChart>
      <c:catAx>
        <c:axId val="65938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78176"/>
        <c:crosses val="autoZero"/>
        <c:auto val="1"/>
        <c:lblAlgn val="ctr"/>
        <c:lblOffset val="100"/>
        <c:noMultiLvlLbl val="0"/>
      </c:catAx>
      <c:valAx>
        <c:axId val="6593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8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46</xdr:row>
      <xdr:rowOff>161925</xdr:rowOff>
    </xdr:from>
    <xdr:to>
      <xdr:col>5</xdr:col>
      <xdr:colOff>333375</xdr:colOff>
      <xdr:row>58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276225</xdr:colOff>
      <xdr:row>58</xdr:row>
      <xdr:rowOff>142875</xdr:rowOff>
    </xdr:from>
    <xdr:to>
      <xdr:col>5</xdr:col>
      <xdr:colOff>466725</xdr:colOff>
      <xdr:row>69</xdr:row>
      <xdr:rowOff>104774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0</xdr:rowOff>
    </xdr:from>
    <xdr:to>
      <xdr:col>13</xdr:col>
      <xdr:colOff>533400</xdr:colOff>
      <xdr:row>11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10</xdr:row>
      <xdr:rowOff>161925</xdr:rowOff>
    </xdr:from>
    <xdr:to>
      <xdr:col>14</xdr:col>
      <xdr:colOff>38100</xdr:colOff>
      <xdr:row>21</xdr:row>
      <xdr:rowOff>180975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15</xdr:row>
      <xdr:rowOff>19050</xdr:rowOff>
    </xdr:from>
    <xdr:to>
      <xdr:col>2</xdr:col>
      <xdr:colOff>323850</xdr:colOff>
      <xdr:row>29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352424</xdr:colOff>
      <xdr:row>15</xdr:row>
      <xdr:rowOff>9525</xdr:rowOff>
    </xdr:from>
    <xdr:to>
      <xdr:col>7</xdr:col>
      <xdr:colOff>9524</xdr:colOff>
      <xdr:row>29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37</xdr:row>
      <xdr:rowOff>171450</xdr:rowOff>
    </xdr:from>
    <xdr:to>
      <xdr:col>2</xdr:col>
      <xdr:colOff>1447801</xdr:colOff>
      <xdr:row>50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20053</xdr:colOff>
      <xdr:row>76</xdr:row>
      <xdr:rowOff>160421</xdr:rowOff>
    </xdr:from>
    <xdr:to>
      <xdr:col>3</xdr:col>
      <xdr:colOff>1373605</xdr:colOff>
      <xdr:row>98</xdr:row>
      <xdr:rowOff>40105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bestFit="1" customWidth="1"/>
    <col min="2" max="2" width="94.140625" bestFit="1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B1" workbookViewId="0">
      <pane ySplit="1" topLeftCell="A5" activePane="bottomLeft" state="frozen"/>
      <selection pane="bottomLeft" activeCell="B23" sqref="B23"/>
    </sheetView>
  </sheetViews>
  <sheetFormatPr defaultRowHeight="15" x14ac:dyDescent="0.25"/>
  <cols>
    <col min="1" max="1" width="38" customWidth="1"/>
    <col min="2" max="6" width="24" customWidth="1"/>
    <col min="7" max="7" width="96.5703125" bestFit="1" customWidth="1"/>
  </cols>
  <sheetData>
    <row r="1" spans="1:7" x14ac:dyDescent="0.25">
      <c r="A1" s="9" t="s">
        <v>225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2" t="s">
        <v>26</v>
      </c>
      <c r="B2" s="3">
        <f>402158.149/1000</f>
        <v>402.15814899999998</v>
      </c>
      <c r="C2" s="3">
        <v>459.45916499999998</v>
      </c>
      <c r="D2" s="3">
        <v>489.36344700000001</v>
      </c>
      <c r="E2" s="3">
        <v>563.63445300000001</v>
      </c>
      <c r="F2" s="3">
        <v>645.92832799999996</v>
      </c>
      <c r="G2" s="2" t="s">
        <v>27</v>
      </c>
    </row>
    <row r="3" spans="1:7" x14ac:dyDescent="0.25">
      <c r="A3" s="2" t="s">
        <v>28</v>
      </c>
      <c r="B3" s="3">
        <v>58.345771999999997</v>
      </c>
      <c r="C3" s="3">
        <v>63.863526999999998</v>
      </c>
      <c r="D3" s="3">
        <v>64.681766999999994</v>
      </c>
      <c r="E3" s="3">
        <v>94.691952999999998</v>
      </c>
      <c r="F3" s="3">
        <v>108.649503</v>
      </c>
      <c r="G3" s="2" t="s">
        <v>27</v>
      </c>
    </row>
    <row r="4" spans="1:7" x14ac:dyDescent="0.25">
      <c r="A4" s="2" t="s">
        <v>29</v>
      </c>
      <c r="B4" s="3">
        <v>12.350263</v>
      </c>
      <c r="C4" s="3">
        <v>10.470447</v>
      </c>
      <c r="D4" s="3">
        <v>13.686496999999999</v>
      </c>
      <c r="E4" s="3">
        <v>14.882534</v>
      </c>
      <c r="F4" s="3">
        <v>20.920013999999998</v>
      </c>
      <c r="G4" s="2" t="s">
        <v>27</v>
      </c>
    </row>
    <row r="5" spans="1:7" x14ac:dyDescent="0.25">
      <c r="A5" s="2" t="s">
        <v>30</v>
      </c>
      <c r="B5" s="3">
        <v>331.46211399999999</v>
      </c>
      <c r="C5" s="3">
        <v>385.12519099999997</v>
      </c>
      <c r="D5" s="3">
        <v>410.995183</v>
      </c>
      <c r="E5" s="3">
        <v>454.05996599999997</v>
      </c>
      <c r="F5" s="3">
        <v>516.35881099999995</v>
      </c>
      <c r="G5" s="2" t="s">
        <v>31</v>
      </c>
    </row>
    <row r="6" spans="1:7" x14ac:dyDescent="0.25">
      <c r="A6" s="2" t="s">
        <v>32</v>
      </c>
      <c r="B6" s="3">
        <v>268.29061799999999</v>
      </c>
      <c r="C6" s="3">
        <v>291.49119100000001</v>
      </c>
      <c r="D6" s="3">
        <v>287.47824200000002</v>
      </c>
      <c r="E6" s="3">
        <v>326.89205099999998</v>
      </c>
      <c r="F6" s="3">
        <v>385.05378400000001</v>
      </c>
      <c r="G6" s="2" t="s">
        <v>27</v>
      </c>
    </row>
    <row r="7" spans="1:7" x14ac:dyDescent="0.25">
      <c r="A7" s="2" t="s">
        <v>33</v>
      </c>
      <c r="B7" s="3">
        <v>63.171495999999998</v>
      </c>
      <c r="C7" s="3">
        <v>93.634</v>
      </c>
      <c r="D7" s="3">
        <v>123.516941</v>
      </c>
      <c r="E7" s="3">
        <v>127.16791499999999</v>
      </c>
      <c r="F7" s="3">
        <v>131.305027</v>
      </c>
      <c r="G7" s="2" t="s">
        <v>27</v>
      </c>
    </row>
    <row r="8" spans="1:7" x14ac:dyDescent="0.25">
      <c r="A8" s="2" t="s">
        <v>34</v>
      </c>
      <c r="B8" s="3">
        <v>11.8247</v>
      </c>
      <c r="C8" s="3">
        <v>10.627616</v>
      </c>
      <c r="D8" s="3">
        <v>15.785581000000001</v>
      </c>
      <c r="E8" s="3">
        <v>17.254021000000002</v>
      </c>
      <c r="F8" s="3">
        <v>16.94106</v>
      </c>
      <c r="G8" s="2" t="s">
        <v>27</v>
      </c>
    </row>
    <row r="9" spans="1:7" x14ac:dyDescent="0.25">
      <c r="A9" s="2" t="s">
        <v>35</v>
      </c>
      <c r="B9" s="3">
        <v>5.7607379999999999</v>
      </c>
      <c r="C9" s="3">
        <v>6.7111359999999998</v>
      </c>
      <c r="D9" s="3">
        <v>7.6529780000000001</v>
      </c>
      <c r="E9" s="3">
        <v>7.5594130000000002</v>
      </c>
      <c r="F9" s="3">
        <v>8.5839800000000004</v>
      </c>
      <c r="G9" s="2" t="s">
        <v>27</v>
      </c>
    </row>
    <row r="10" spans="1:7" x14ac:dyDescent="0.25">
      <c r="A10" s="2" t="s">
        <v>36</v>
      </c>
      <c r="B10" s="3">
        <v>7.0952080000000004</v>
      </c>
      <c r="C10" s="3">
        <v>80.640895</v>
      </c>
      <c r="D10" s="3">
        <v>36.698506999999999</v>
      </c>
      <c r="E10" s="3">
        <v>25.498349000000001</v>
      </c>
      <c r="F10" s="3">
        <v>18.942526000000001</v>
      </c>
      <c r="G10" s="2" t="s">
        <v>27</v>
      </c>
    </row>
    <row r="11" spans="1:7" x14ac:dyDescent="0.25">
      <c r="A11" s="2" t="s">
        <v>37</v>
      </c>
      <c r="B11" s="3">
        <v>4.4655040000000001</v>
      </c>
      <c r="C11" s="3">
        <v>4.1264539999999998</v>
      </c>
      <c r="D11" s="3">
        <v>3.674585</v>
      </c>
      <c r="E11" s="3">
        <v>4.7289849999999998</v>
      </c>
      <c r="F11" s="3">
        <v>8.0063589999999998</v>
      </c>
      <c r="G11" s="2" t="s">
        <v>27</v>
      </c>
    </row>
    <row r="12" spans="1:7" x14ac:dyDescent="0.25">
      <c r="A12" s="2" t="s">
        <v>38</v>
      </c>
      <c r="B12" s="3">
        <v>0</v>
      </c>
      <c r="C12" s="3">
        <v>0</v>
      </c>
      <c r="D12" s="3">
        <v>0</v>
      </c>
      <c r="E12" s="3">
        <v>0.29255500000000001</v>
      </c>
      <c r="F12" s="3">
        <v>0</v>
      </c>
      <c r="G12" s="2" t="s">
        <v>27</v>
      </c>
    </row>
    <row r="13" spans="1:7" x14ac:dyDescent="0.25">
      <c r="A13" s="2" t="s">
        <v>39</v>
      </c>
      <c r="B13" s="3">
        <v>7.3366300000000004</v>
      </c>
      <c r="C13" s="3">
        <v>9.2781599999999997</v>
      </c>
      <c r="D13" s="3">
        <v>16.185369999999999</v>
      </c>
      <c r="E13" s="3">
        <v>15.890653</v>
      </c>
      <c r="F13" s="3">
        <v>20.972833000000001</v>
      </c>
      <c r="G13" s="2" t="s">
        <v>27</v>
      </c>
    </row>
    <row r="14" spans="1:7" x14ac:dyDescent="0.25">
      <c r="A14" s="2" t="s">
        <v>40</v>
      </c>
      <c r="B14" s="3">
        <v>5.6741080000000004</v>
      </c>
      <c r="C14" s="3">
        <v>10.521551000000001</v>
      </c>
      <c r="D14" s="3">
        <v>16.209617999999999</v>
      </c>
      <c r="E14" s="3">
        <v>17.779995</v>
      </c>
      <c r="F14" s="3">
        <v>16.753167000000001</v>
      </c>
      <c r="G14" s="2" t="s">
        <v>27</v>
      </c>
    </row>
    <row r="15" spans="1:7" x14ac:dyDescent="0.25">
      <c r="A15" s="2" t="s">
        <v>41</v>
      </c>
      <c r="B15" s="3">
        <v>47.036084000000002</v>
      </c>
      <c r="C15" s="3">
        <v>61.492280000000001</v>
      </c>
      <c r="D15" s="3">
        <v>90.301772</v>
      </c>
      <c r="E15" s="3">
        <v>105.746566</v>
      </c>
      <c r="F15" s="3">
        <v>116.190243</v>
      </c>
      <c r="G15" s="2" t="s">
        <v>27</v>
      </c>
    </row>
    <row r="16" spans="1:7" x14ac:dyDescent="0.25">
      <c r="A16" s="2" t="s">
        <v>42</v>
      </c>
      <c r="B16" s="3">
        <v>10.613414000000001</v>
      </c>
      <c r="C16" s="3">
        <v>12.047113</v>
      </c>
      <c r="D16" s="3">
        <v>17.965025000000001</v>
      </c>
      <c r="E16" s="3">
        <v>21.248189</v>
      </c>
      <c r="F16" s="3">
        <v>19.734002</v>
      </c>
      <c r="G16" s="2" t="s">
        <v>27</v>
      </c>
    </row>
    <row r="17" spans="1:7" x14ac:dyDescent="0.25">
      <c r="A17" s="2" t="s">
        <v>43</v>
      </c>
      <c r="B17" s="3">
        <v>36.422669999999997</v>
      </c>
      <c r="C17" s="3">
        <v>48.758167</v>
      </c>
      <c r="D17" s="3">
        <v>72.336747000000003</v>
      </c>
      <c r="E17" s="3">
        <v>84.498377000000005</v>
      </c>
      <c r="F17" s="3">
        <v>96.456241000000006</v>
      </c>
      <c r="G17" s="2" t="s">
        <v>44</v>
      </c>
    </row>
    <row r="18" spans="1:7" x14ac:dyDescent="0.25">
      <c r="A18" s="2" t="s">
        <v>45</v>
      </c>
      <c r="B18" s="3">
        <v>91.22</v>
      </c>
      <c r="C18" s="3">
        <v>30.59</v>
      </c>
      <c r="D18" s="3">
        <v>44.1</v>
      </c>
      <c r="E18" s="3">
        <v>52.53</v>
      </c>
      <c r="F18" s="3">
        <v>60.78</v>
      </c>
      <c r="G18" s="2" t="s">
        <v>46</v>
      </c>
    </row>
    <row r="19" spans="1:7" x14ac:dyDescent="0.25">
      <c r="A19" s="2" t="s">
        <v>47</v>
      </c>
      <c r="B19" s="3">
        <v>29.497340000000001</v>
      </c>
      <c r="C19" s="3">
        <v>48.758167</v>
      </c>
      <c r="D19" s="3">
        <v>65.555504999999997</v>
      </c>
      <c r="E19" s="3">
        <v>76.956147000000001</v>
      </c>
      <c r="F19" s="3">
        <v>89.042000000000002</v>
      </c>
      <c r="G19" s="2" t="s">
        <v>48</v>
      </c>
    </row>
    <row r="20" spans="1:7" x14ac:dyDescent="0.25">
      <c r="A20" s="2" t="s">
        <v>49</v>
      </c>
      <c r="B20" s="3">
        <v>18.239999999999998</v>
      </c>
      <c r="C20" s="3">
        <v>30.59</v>
      </c>
      <c r="D20" s="3">
        <v>44.1</v>
      </c>
      <c r="E20" s="3">
        <v>52.53</v>
      </c>
      <c r="F20" s="3">
        <v>60.78</v>
      </c>
      <c r="G20" s="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11" activePane="bottomLeft" state="frozen"/>
      <selection pane="bottomLeft"/>
    </sheetView>
  </sheetViews>
  <sheetFormatPr defaultRowHeight="15" x14ac:dyDescent="0.25"/>
  <cols>
    <col min="1" max="1" width="38" customWidth="1"/>
    <col min="2" max="6" width="24" customWidth="1"/>
    <col min="7" max="7" width="75.28515625" bestFit="1" customWidth="1"/>
  </cols>
  <sheetData>
    <row r="1" spans="1:7" x14ac:dyDescent="0.25">
      <c r="A1" s="9" t="s">
        <v>227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2" t="s">
        <v>51</v>
      </c>
      <c r="B2" s="3">
        <v>16.899999999999999</v>
      </c>
      <c r="C2" s="3">
        <v>38.939</v>
      </c>
      <c r="D2" s="3">
        <v>41.963999999999999</v>
      </c>
      <c r="E2" s="3">
        <v>61.685000000000002</v>
      </c>
      <c r="F2" s="3">
        <v>8.86</v>
      </c>
      <c r="G2" s="2" t="s">
        <v>52</v>
      </c>
    </row>
    <row r="3" spans="1:7" x14ac:dyDescent="0.25">
      <c r="A3" s="2" t="s">
        <v>53</v>
      </c>
      <c r="B3" s="3">
        <v>0.24299999999999999</v>
      </c>
      <c r="C3" s="3">
        <v>0.71299999999999997</v>
      </c>
      <c r="D3" s="3">
        <v>22.67</v>
      </c>
      <c r="E3" s="3">
        <v>0</v>
      </c>
      <c r="F3" s="3">
        <v>173.1</v>
      </c>
      <c r="G3" s="2" t="s">
        <v>52</v>
      </c>
    </row>
    <row r="4" spans="1:7" x14ac:dyDescent="0.25">
      <c r="A4" s="2" t="s">
        <v>54</v>
      </c>
      <c r="B4" s="3">
        <v>12.733000000000001</v>
      </c>
      <c r="C4" s="3">
        <v>43.485999999999997</v>
      </c>
      <c r="D4" s="3">
        <v>44.875999999999998</v>
      </c>
      <c r="E4" s="3">
        <v>80.090999999999994</v>
      </c>
      <c r="F4" s="3">
        <v>0</v>
      </c>
      <c r="G4" s="2" t="s">
        <v>52</v>
      </c>
    </row>
    <row r="5" spans="1:7" x14ac:dyDescent="0.25">
      <c r="A5" s="2" t="s">
        <v>55</v>
      </c>
      <c r="B5" s="3">
        <v>29.876999999999999</v>
      </c>
      <c r="C5" s="3">
        <v>83.138999999999996</v>
      </c>
      <c r="D5" s="3">
        <v>86.863</v>
      </c>
      <c r="E5" s="3">
        <v>141.77699999999999</v>
      </c>
      <c r="F5" s="3">
        <v>181.96100000000001</v>
      </c>
      <c r="G5" s="2" t="s">
        <v>52</v>
      </c>
    </row>
    <row r="6" spans="1:7" x14ac:dyDescent="0.25">
      <c r="A6" s="2" t="s">
        <v>56</v>
      </c>
      <c r="B6" s="3">
        <v>36.354999999999997</v>
      </c>
      <c r="C6" s="3">
        <v>59.904000000000003</v>
      </c>
      <c r="D6" s="3">
        <v>67.224999999999994</v>
      </c>
      <c r="E6" s="3">
        <v>61.738</v>
      </c>
      <c r="F6" s="3">
        <v>64.539000000000001</v>
      </c>
      <c r="G6" s="2" t="s">
        <v>52</v>
      </c>
    </row>
    <row r="7" spans="1:7" x14ac:dyDescent="0.25">
      <c r="A7" s="2" t="s">
        <v>57</v>
      </c>
      <c r="B7" s="3">
        <v>19.292999999999999</v>
      </c>
      <c r="C7" s="3">
        <v>14.974</v>
      </c>
      <c r="D7" s="3">
        <v>17.893999999999998</v>
      </c>
      <c r="E7" s="3">
        <v>15.227</v>
      </c>
      <c r="F7" s="3">
        <v>24.728000000000002</v>
      </c>
      <c r="G7" s="2" t="s">
        <v>52</v>
      </c>
    </row>
    <row r="8" spans="1:7" x14ac:dyDescent="0.25">
      <c r="A8" s="2" t="s">
        <v>58</v>
      </c>
      <c r="B8" s="3">
        <v>85.679000000000002</v>
      </c>
      <c r="C8" s="3">
        <v>71.269000000000005</v>
      </c>
      <c r="D8" s="3">
        <v>92.884</v>
      </c>
      <c r="E8" s="3">
        <v>91.275000000000006</v>
      </c>
      <c r="F8" s="3">
        <v>88.774000000000001</v>
      </c>
      <c r="G8" s="2" t="s">
        <v>52</v>
      </c>
    </row>
    <row r="9" spans="1:7" x14ac:dyDescent="0.25">
      <c r="A9" s="2" t="s">
        <v>59</v>
      </c>
      <c r="B9" s="3">
        <v>175.726</v>
      </c>
      <c r="C9" s="3">
        <v>238.77600000000001</v>
      </c>
      <c r="D9" s="3">
        <v>274.63099999999997</v>
      </c>
      <c r="E9" s="3">
        <v>320.55399999999997</v>
      </c>
      <c r="F9" s="3">
        <v>371.34800000000001</v>
      </c>
      <c r="G9" s="2" t="s">
        <v>52</v>
      </c>
    </row>
    <row r="10" spans="1:7" x14ac:dyDescent="0.25">
      <c r="A10" s="2" t="s">
        <v>60</v>
      </c>
      <c r="B10" s="3">
        <v>276.19299999999998</v>
      </c>
      <c r="C10" s="3">
        <v>294.95600000000002</v>
      </c>
      <c r="D10" s="3">
        <v>298.75400000000002</v>
      </c>
      <c r="E10" s="3">
        <v>305.709</v>
      </c>
      <c r="F10" s="3">
        <v>305.14299999999997</v>
      </c>
      <c r="G10" s="2" t="s">
        <v>52</v>
      </c>
    </row>
    <row r="11" spans="1:7" x14ac:dyDescent="0.25">
      <c r="A11" s="2" t="s">
        <v>61</v>
      </c>
      <c r="B11" s="3">
        <v>36.545000000000002</v>
      </c>
      <c r="C11" s="3">
        <v>67.117999999999995</v>
      </c>
      <c r="D11" s="3">
        <v>78.082999999999998</v>
      </c>
      <c r="E11" s="3">
        <v>92.218000000000004</v>
      </c>
      <c r="F11" s="3">
        <v>104.252</v>
      </c>
      <c r="G11" s="2" t="s">
        <v>52</v>
      </c>
    </row>
    <row r="12" spans="1:7" x14ac:dyDescent="0.25">
      <c r="A12" s="2" t="s">
        <v>62</v>
      </c>
      <c r="B12" s="3">
        <v>3.0289999999999999</v>
      </c>
      <c r="C12" s="3">
        <v>2.34</v>
      </c>
      <c r="D12" s="3">
        <v>2.34</v>
      </c>
      <c r="E12" s="3">
        <v>2.34</v>
      </c>
      <c r="F12" s="3">
        <v>0</v>
      </c>
      <c r="G12" s="2" t="s">
        <v>52</v>
      </c>
    </row>
    <row r="13" spans="1:7" x14ac:dyDescent="0.25">
      <c r="A13" s="2" t="s">
        <v>63</v>
      </c>
      <c r="B13" s="3">
        <v>11.573</v>
      </c>
      <c r="C13" s="3">
        <v>4.343</v>
      </c>
      <c r="D13" s="3">
        <v>4.2850000000000001</v>
      </c>
      <c r="E13" s="3">
        <v>5.7720000000000002</v>
      </c>
      <c r="F13" s="3">
        <v>8.1349999999999998</v>
      </c>
      <c r="G13" s="2" t="s">
        <v>52</v>
      </c>
    </row>
    <row r="14" spans="1:7" x14ac:dyDescent="0.25">
      <c r="A14" s="2" t="s">
        <v>64</v>
      </c>
      <c r="B14" s="3">
        <v>503.68700000000001</v>
      </c>
      <c r="C14" s="3">
        <v>608.35900000000004</v>
      </c>
      <c r="D14" s="3">
        <v>659.66200000000003</v>
      </c>
      <c r="E14" s="3">
        <v>729.36199999999997</v>
      </c>
      <c r="F14" s="3">
        <v>793.90700000000004</v>
      </c>
      <c r="G14" s="2" t="s">
        <v>52</v>
      </c>
    </row>
    <row r="15" spans="1:7" x14ac:dyDescent="0.25">
      <c r="A15" s="2" t="s">
        <v>65</v>
      </c>
      <c r="B15" s="3">
        <v>16.858000000000001</v>
      </c>
      <c r="C15" s="3">
        <v>22.558</v>
      </c>
      <c r="D15" s="3">
        <v>21.791</v>
      </c>
      <c r="E15" s="3">
        <v>23.402999999999999</v>
      </c>
      <c r="F15" s="3">
        <v>71.909000000000006</v>
      </c>
      <c r="G15" s="2" t="s">
        <v>52</v>
      </c>
    </row>
    <row r="16" spans="1:7" x14ac:dyDescent="0.25">
      <c r="A16" s="2" t="s">
        <v>66</v>
      </c>
      <c r="B16" s="3">
        <v>58.152999999999999</v>
      </c>
      <c r="C16" s="3">
        <v>67.043000000000006</v>
      </c>
      <c r="D16" s="3">
        <v>69.879000000000005</v>
      </c>
      <c r="E16" s="3">
        <v>54.787999999999997</v>
      </c>
      <c r="F16" s="3">
        <v>66.680999999999997</v>
      </c>
      <c r="G16" s="2" t="s">
        <v>52</v>
      </c>
    </row>
    <row r="17" spans="1:7" x14ac:dyDescent="0.25">
      <c r="A17" s="2" t="s">
        <v>67</v>
      </c>
      <c r="B17" s="3">
        <v>5.0810000000000004</v>
      </c>
      <c r="C17" s="3">
        <v>9.0090000000000003</v>
      </c>
      <c r="D17" s="3">
        <v>11.567</v>
      </c>
      <c r="E17" s="3">
        <v>13.182</v>
      </c>
      <c r="F17" s="3">
        <v>15.385999999999999</v>
      </c>
      <c r="G17" s="2" t="s">
        <v>52</v>
      </c>
    </row>
    <row r="18" spans="1:7" x14ac:dyDescent="0.25">
      <c r="A18" s="2" t="s">
        <v>68</v>
      </c>
      <c r="B18" s="3">
        <v>149.32300000000001</v>
      </c>
      <c r="C18" s="3">
        <v>175.47399999999999</v>
      </c>
      <c r="D18" s="3">
        <v>183.791</v>
      </c>
      <c r="E18" s="3">
        <v>177.774</v>
      </c>
      <c r="F18" s="3">
        <v>169.96899999999999</v>
      </c>
      <c r="G18" s="2" t="s">
        <v>52</v>
      </c>
    </row>
    <row r="19" spans="1:7" x14ac:dyDescent="0.25">
      <c r="A19" s="2" t="s">
        <v>69</v>
      </c>
      <c r="B19" s="3">
        <v>127.874</v>
      </c>
      <c r="C19" s="3">
        <v>135.858</v>
      </c>
      <c r="D19" s="3">
        <v>124.16800000000001</v>
      </c>
      <c r="E19" s="3">
        <v>117.626</v>
      </c>
      <c r="F19" s="3">
        <v>102.605</v>
      </c>
      <c r="G19" s="2" t="s">
        <v>52</v>
      </c>
    </row>
    <row r="20" spans="1:7" x14ac:dyDescent="0.25">
      <c r="A20" s="2" t="s">
        <v>70</v>
      </c>
      <c r="B20" s="3">
        <v>303.92899999999997</v>
      </c>
      <c r="C20" s="3">
        <v>347.36</v>
      </c>
      <c r="D20" s="3">
        <v>349.03</v>
      </c>
      <c r="E20" s="3">
        <v>341.32</v>
      </c>
      <c r="F20" s="3">
        <v>320.00200000000001</v>
      </c>
      <c r="G20" s="2" t="s">
        <v>52</v>
      </c>
    </row>
    <row r="21" spans="1:7" x14ac:dyDescent="0.25">
      <c r="A21" s="2" t="s">
        <v>71</v>
      </c>
      <c r="B21" s="3">
        <v>170.86500000000001</v>
      </c>
      <c r="C21" s="3">
        <v>227.48400000000001</v>
      </c>
      <c r="D21" s="3">
        <v>273.62599999999998</v>
      </c>
      <c r="E21" s="3">
        <v>347.30099999999999</v>
      </c>
      <c r="F21" s="3">
        <v>428.51799999999997</v>
      </c>
      <c r="G21" s="2" t="s">
        <v>52</v>
      </c>
    </row>
    <row r="22" spans="1:7" x14ac:dyDescent="0.25">
      <c r="A22" s="2" t="s">
        <v>72</v>
      </c>
      <c r="B22" s="3">
        <v>28.893999999999998</v>
      </c>
      <c r="C22" s="3">
        <v>33.515000000000001</v>
      </c>
      <c r="D22" s="3">
        <v>37.006</v>
      </c>
      <c r="E22" s="3">
        <v>40.74</v>
      </c>
      <c r="F22" s="3">
        <v>45.387</v>
      </c>
      <c r="G22" s="2" t="s">
        <v>52</v>
      </c>
    </row>
    <row r="23" spans="1:7" x14ac:dyDescent="0.25">
      <c r="A23" s="2" t="s">
        <v>73</v>
      </c>
      <c r="B23" s="3">
        <v>199.75800000000001</v>
      </c>
      <c r="C23" s="3">
        <v>260.99900000000002</v>
      </c>
      <c r="D23" s="3">
        <v>310.63099999999997</v>
      </c>
      <c r="E23" s="3">
        <v>388.041</v>
      </c>
      <c r="F23" s="3">
        <v>473.90499999999997</v>
      </c>
      <c r="G23" s="2" t="s">
        <v>52</v>
      </c>
    </row>
    <row r="24" spans="1:7" x14ac:dyDescent="0.25">
      <c r="A24" s="2" t="s">
        <v>74</v>
      </c>
      <c r="B24" s="3">
        <v>191.29300000000001</v>
      </c>
      <c r="C24" s="3">
        <v>212.02</v>
      </c>
      <c r="D24" s="3">
        <v>205.81</v>
      </c>
      <c r="E24" s="3">
        <v>185.98400000000001</v>
      </c>
      <c r="F24" s="3">
        <v>184.97399999999999</v>
      </c>
      <c r="G24" s="2" t="s">
        <v>52</v>
      </c>
    </row>
    <row r="25" spans="1:7" x14ac:dyDescent="0.25">
      <c r="A25" s="2" t="s">
        <v>75</v>
      </c>
      <c r="B25" s="3">
        <v>26.402999999999999</v>
      </c>
      <c r="C25" s="3">
        <v>63.302</v>
      </c>
      <c r="D25" s="3">
        <v>90.838999999999999</v>
      </c>
      <c r="E25" s="3">
        <v>142.78</v>
      </c>
      <c r="F25" s="3">
        <v>201.37899999999999</v>
      </c>
      <c r="G25" s="2" t="s">
        <v>52</v>
      </c>
    </row>
    <row r="26" spans="1:7" x14ac:dyDescent="0.25">
      <c r="A26" s="2" t="s">
        <v>76</v>
      </c>
      <c r="B26" s="3">
        <v>1617</v>
      </c>
      <c r="C26" s="3">
        <v>1559</v>
      </c>
      <c r="D26" s="3">
        <v>1465</v>
      </c>
      <c r="E26" s="3">
        <v>1465</v>
      </c>
      <c r="F26" s="3">
        <v>1465</v>
      </c>
      <c r="G26" s="2" t="s">
        <v>52</v>
      </c>
    </row>
    <row r="27" spans="1:7" x14ac:dyDescent="0.25">
      <c r="A27" s="2" t="s">
        <v>77</v>
      </c>
      <c r="B27" s="3">
        <v>105.68</v>
      </c>
      <c r="C27" s="3">
        <v>145.9</v>
      </c>
      <c r="D27" s="3">
        <v>186.78</v>
      </c>
      <c r="E27" s="3">
        <v>237.07</v>
      </c>
      <c r="F27" s="3">
        <v>292.51</v>
      </c>
      <c r="G27" s="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6" width="24" customWidth="1"/>
    <col min="7" max="7" width="56.5703125" bestFit="1" customWidth="1"/>
  </cols>
  <sheetData>
    <row r="1" spans="1:7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2" t="s">
        <v>78</v>
      </c>
      <c r="B2" s="3">
        <v>-29.484000000000002</v>
      </c>
      <c r="C2" s="3">
        <v>57.676000000000002</v>
      </c>
      <c r="D2" s="3">
        <v>45.207000000000001</v>
      </c>
      <c r="E2" s="3">
        <v>96.742000000000004</v>
      </c>
      <c r="F2" s="3">
        <v>54.831000000000003</v>
      </c>
      <c r="G2" s="2" t="s">
        <v>79</v>
      </c>
    </row>
    <row r="3" spans="1:7" x14ac:dyDescent="0.25">
      <c r="A3" s="2" t="s">
        <v>80</v>
      </c>
      <c r="B3" s="3">
        <v>-55.670999999999999</v>
      </c>
      <c r="C3" s="3">
        <v>-24.305</v>
      </c>
      <c r="D3" s="3">
        <v>-24.812000000000001</v>
      </c>
      <c r="E3" s="3">
        <v>-20.981000000000002</v>
      </c>
      <c r="F3" s="3">
        <v>-21.376999999999999</v>
      </c>
      <c r="G3" s="2" t="s">
        <v>79</v>
      </c>
    </row>
    <row r="4" spans="1:7" x14ac:dyDescent="0.25">
      <c r="A4" s="2" t="s">
        <v>81</v>
      </c>
      <c r="B4" s="3">
        <v>-85.153999999999996</v>
      </c>
      <c r="C4" s="3">
        <v>33.371000000000002</v>
      </c>
      <c r="D4" s="3">
        <v>20.395</v>
      </c>
      <c r="E4" s="3">
        <v>75.760999999999996</v>
      </c>
      <c r="F4" s="3">
        <v>33.453000000000003</v>
      </c>
      <c r="G4" s="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3" width="24" customWidth="1"/>
    <col min="4" max="4" width="49.7109375" bestFit="1" customWidth="1"/>
  </cols>
  <sheetData>
    <row r="1" spans="1:4" x14ac:dyDescent="0.25">
      <c r="A1" s="1" t="s">
        <v>19</v>
      </c>
      <c r="B1" s="1" t="s">
        <v>82</v>
      </c>
      <c r="C1" s="1" t="s">
        <v>83</v>
      </c>
      <c r="D1" s="1" t="s">
        <v>25</v>
      </c>
    </row>
    <row r="2" spans="1:4" x14ac:dyDescent="0.25">
      <c r="A2" s="2" t="s">
        <v>84</v>
      </c>
      <c r="B2" s="2">
        <v>436.66</v>
      </c>
      <c r="C2" s="2" t="s">
        <v>18</v>
      </c>
      <c r="D2" s="2" t="s">
        <v>85</v>
      </c>
    </row>
    <row r="3" spans="1:4" x14ac:dyDescent="0.25">
      <c r="A3" s="2" t="s">
        <v>76</v>
      </c>
      <c r="B3" s="2">
        <v>1465</v>
      </c>
      <c r="C3" s="2" t="s">
        <v>24</v>
      </c>
      <c r="D3" s="2" t="s">
        <v>86</v>
      </c>
    </row>
    <row r="4" spans="1:4" x14ac:dyDescent="0.25">
      <c r="A4" s="2" t="s">
        <v>87</v>
      </c>
      <c r="B4" s="2"/>
      <c r="C4" s="2" t="s">
        <v>88</v>
      </c>
      <c r="D4" s="2" t="s">
        <v>89</v>
      </c>
    </row>
    <row r="5" spans="1:4" x14ac:dyDescent="0.25">
      <c r="A5" s="2" t="s">
        <v>90</v>
      </c>
      <c r="B5" s="2" t="s">
        <v>91</v>
      </c>
      <c r="C5" s="2" t="s">
        <v>24</v>
      </c>
      <c r="D5" s="2" t="s">
        <v>92</v>
      </c>
    </row>
    <row r="6" spans="1:4" x14ac:dyDescent="0.25">
      <c r="A6" s="2" t="s">
        <v>93</v>
      </c>
      <c r="B6" s="2" t="s">
        <v>94</v>
      </c>
      <c r="C6" s="2" t="s">
        <v>95</v>
      </c>
      <c r="D6" s="2" t="s">
        <v>92</v>
      </c>
    </row>
    <row r="7" spans="1:4" x14ac:dyDescent="0.25">
      <c r="A7" s="2" t="s">
        <v>96</v>
      </c>
      <c r="B7" s="2" t="s">
        <v>97</v>
      </c>
      <c r="C7" s="2" t="s">
        <v>95</v>
      </c>
      <c r="D7" s="2" t="s">
        <v>92</v>
      </c>
    </row>
    <row r="8" spans="1:4" x14ac:dyDescent="0.25">
      <c r="A8" s="2" t="s">
        <v>98</v>
      </c>
      <c r="B8" s="2" t="s">
        <v>99</v>
      </c>
      <c r="C8" s="2" t="s">
        <v>95</v>
      </c>
      <c r="D8" s="2" t="s">
        <v>100</v>
      </c>
    </row>
    <row r="9" spans="1:4" x14ac:dyDescent="0.25">
      <c r="A9" s="2" t="s">
        <v>101</v>
      </c>
      <c r="B9" s="2" t="s">
        <v>102</v>
      </c>
      <c r="C9" s="2" t="s">
        <v>103</v>
      </c>
      <c r="D9" s="2" t="s">
        <v>104</v>
      </c>
    </row>
    <row r="10" spans="1:4" x14ac:dyDescent="0.25">
      <c r="A10" s="2" t="s">
        <v>105</v>
      </c>
      <c r="B10" s="2">
        <v>5</v>
      </c>
      <c r="C10" s="2" t="s">
        <v>24</v>
      </c>
      <c r="D10" s="2" t="s">
        <v>106</v>
      </c>
    </row>
    <row r="11" spans="1:4" x14ac:dyDescent="0.25">
      <c r="A11" s="2" t="s">
        <v>107</v>
      </c>
      <c r="B11" s="2">
        <v>60.78</v>
      </c>
      <c r="C11" s="2" t="s">
        <v>24</v>
      </c>
      <c r="D11" s="2" t="s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6" width="24" customWidth="1"/>
    <col min="7" max="7" width="45" bestFit="1" customWidth="1"/>
  </cols>
  <sheetData>
    <row r="1" spans="1:7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25</v>
      </c>
    </row>
    <row r="2" spans="1:7" x14ac:dyDescent="0.25">
      <c r="A2" s="2" t="s">
        <v>115</v>
      </c>
      <c r="B2" s="4">
        <v>439.3</v>
      </c>
      <c r="C2" s="4">
        <v>443.21</v>
      </c>
      <c r="D2" s="4">
        <v>435</v>
      </c>
      <c r="E2" s="4">
        <v>437.2</v>
      </c>
      <c r="F2" s="5">
        <v>981329</v>
      </c>
      <c r="G2" s="2" t="s">
        <v>85</v>
      </c>
    </row>
    <row r="3" spans="1:7" x14ac:dyDescent="0.25">
      <c r="A3" s="2" t="s">
        <v>116</v>
      </c>
      <c r="B3" s="4">
        <v>443.4</v>
      </c>
      <c r="C3" s="4">
        <v>444</v>
      </c>
      <c r="D3" s="4">
        <v>438</v>
      </c>
      <c r="E3" s="4">
        <v>439.3</v>
      </c>
      <c r="F3" s="5">
        <v>1250095</v>
      </c>
      <c r="G3" s="2" t="s">
        <v>85</v>
      </c>
    </row>
    <row r="4" spans="1:7" x14ac:dyDescent="0.25">
      <c r="A4" s="2" t="s">
        <v>117</v>
      </c>
      <c r="B4" s="4">
        <v>448.01</v>
      </c>
      <c r="C4" s="4">
        <v>449.4</v>
      </c>
      <c r="D4" s="4">
        <v>442</v>
      </c>
      <c r="E4" s="4">
        <v>443.37</v>
      </c>
      <c r="F4" s="5">
        <v>753981</v>
      </c>
      <c r="G4" s="2" t="s">
        <v>85</v>
      </c>
    </row>
    <row r="5" spans="1:7" x14ac:dyDescent="0.25">
      <c r="A5" s="2" t="s">
        <v>118</v>
      </c>
      <c r="B5" s="4">
        <v>447.88</v>
      </c>
      <c r="C5" s="4">
        <v>450</v>
      </c>
      <c r="D5" s="4">
        <v>445</v>
      </c>
      <c r="E5" s="4">
        <v>446.61</v>
      </c>
      <c r="F5" s="5">
        <v>696125</v>
      </c>
      <c r="G5" s="2" t="s">
        <v>85</v>
      </c>
    </row>
    <row r="6" spans="1:7" x14ac:dyDescent="0.25">
      <c r="A6" s="2" t="s">
        <v>119</v>
      </c>
      <c r="B6" s="4">
        <v>445.7</v>
      </c>
      <c r="C6" s="4">
        <v>450.12</v>
      </c>
      <c r="D6" s="4">
        <v>443</v>
      </c>
      <c r="E6" s="4">
        <v>446.47</v>
      </c>
      <c r="F6" s="5">
        <v>1099611</v>
      </c>
      <c r="G6" s="2" t="s">
        <v>85</v>
      </c>
    </row>
    <row r="7" spans="1:7" x14ac:dyDescent="0.25">
      <c r="A7" s="2" t="s">
        <v>120</v>
      </c>
      <c r="B7" s="4">
        <v>454.3</v>
      </c>
      <c r="C7" s="4">
        <v>454.3</v>
      </c>
      <c r="D7" s="4">
        <v>443.99</v>
      </c>
      <c r="E7" s="4">
        <v>445.11</v>
      </c>
      <c r="F7" s="5">
        <v>1441981</v>
      </c>
      <c r="G7" s="2" t="s">
        <v>85</v>
      </c>
    </row>
    <row r="8" spans="1:7" x14ac:dyDescent="0.25">
      <c r="A8" s="2" t="s">
        <v>121</v>
      </c>
      <c r="B8" s="4">
        <v>462.8</v>
      </c>
      <c r="C8" s="4">
        <v>462.8</v>
      </c>
      <c r="D8" s="4">
        <v>452.99</v>
      </c>
      <c r="E8" s="4">
        <v>454.36</v>
      </c>
      <c r="F8" s="5">
        <v>2057991</v>
      </c>
      <c r="G8" s="2" t="s">
        <v>85</v>
      </c>
    </row>
    <row r="9" spans="1:7" x14ac:dyDescent="0.25">
      <c r="A9" s="2" t="s">
        <v>122</v>
      </c>
      <c r="B9" s="4">
        <v>457.5</v>
      </c>
      <c r="C9" s="4">
        <v>462</v>
      </c>
      <c r="D9" s="4">
        <v>453</v>
      </c>
      <c r="E9" s="4">
        <v>458.75</v>
      </c>
      <c r="F9" s="5">
        <v>1949072</v>
      </c>
      <c r="G9" s="2" t="s">
        <v>85</v>
      </c>
    </row>
    <row r="10" spans="1:7" x14ac:dyDescent="0.25">
      <c r="A10" s="2" t="s">
        <v>123</v>
      </c>
      <c r="B10" s="4">
        <v>453.91</v>
      </c>
      <c r="C10" s="4">
        <v>460.5</v>
      </c>
      <c r="D10" s="4">
        <v>453.91</v>
      </c>
      <c r="E10" s="4">
        <v>458.63</v>
      </c>
      <c r="F10" s="5">
        <v>1931851</v>
      </c>
      <c r="G10" s="2" t="s">
        <v>85</v>
      </c>
    </row>
    <row r="11" spans="1:7" x14ac:dyDescent="0.25">
      <c r="A11" s="2" t="s">
        <v>124</v>
      </c>
      <c r="B11" s="4">
        <v>454.39</v>
      </c>
      <c r="C11" s="4">
        <v>456.78</v>
      </c>
      <c r="D11" s="4">
        <v>450.12</v>
      </c>
      <c r="E11" s="4">
        <v>451.97</v>
      </c>
      <c r="F11" s="5">
        <v>2675868</v>
      </c>
      <c r="G11" s="2" t="s">
        <v>85</v>
      </c>
    </row>
    <row r="12" spans="1:7" x14ac:dyDescent="0.25">
      <c r="A12" s="2" t="s">
        <v>125</v>
      </c>
      <c r="B12" s="4">
        <v>450</v>
      </c>
      <c r="C12" s="4">
        <v>451.99</v>
      </c>
      <c r="D12" s="4">
        <v>442.5</v>
      </c>
      <c r="E12" s="4">
        <v>443.4</v>
      </c>
      <c r="F12" s="5">
        <v>1031670</v>
      </c>
      <c r="G12" s="2" t="s">
        <v>85</v>
      </c>
    </row>
    <row r="13" spans="1:7" x14ac:dyDescent="0.25">
      <c r="A13" s="2" t="s">
        <v>126</v>
      </c>
      <c r="B13" s="4">
        <v>450</v>
      </c>
      <c r="C13" s="4">
        <v>454.99</v>
      </c>
      <c r="D13" s="4">
        <v>446.01</v>
      </c>
      <c r="E13" s="4">
        <v>449.08</v>
      </c>
      <c r="F13" s="5">
        <v>1884947</v>
      </c>
      <c r="G13" s="2" t="s">
        <v>85</v>
      </c>
    </row>
    <row r="14" spans="1:7" x14ac:dyDescent="0.25">
      <c r="A14" s="2" t="s">
        <v>127</v>
      </c>
      <c r="B14" s="4">
        <v>441.11</v>
      </c>
      <c r="C14" s="4">
        <v>445.25</v>
      </c>
      <c r="D14" s="4">
        <v>440</v>
      </c>
      <c r="E14" s="4">
        <v>440.91</v>
      </c>
      <c r="F14" s="5">
        <v>769454</v>
      </c>
      <c r="G14" s="2" t="s">
        <v>85</v>
      </c>
    </row>
    <row r="15" spans="1:7" x14ac:dyDescent="0.25">
      <c r="A15" s="2" t="s">
        <v>128</v>
      </c>
      <c r="B15" s="4">
        <v>445.7</v>
      </c>
      <c r="C15" s="4">
        <v>445.7</v>
      </c>
      <c r="D15" s="4">
        <v>435.4</v>
      </c>
      <c r="E15" s="4">
        <v>437.91</v>
      </c>
      <c r="F15" s="5">
        <v>1458139</v>
      </c>
      <c r="G15" s="2" t="s">
        <v>85</v>
      </c>
    </row>
    <row r="16" spans="1:7" x14ac:dyDescent="0.25">
      <c r="A16" s="2" t="s">
        <v>129</v>
      </c>
      <c r="B16" s="4">
        <v>450.16</v>
      </c>
      <c r="C16" s="4">
        <v>453</v>
      </c>
      <c r="D16" s="4">
        <v>443</v>
      </c>
      <c r="E16" s="4">
        <v>445.76</v>
      </c>
      <c r="F16" s="5">
        <v>1291410</v>
      </c>
      <c r="G16" s="2" t="s">
        <v>85</v>
      </c>
    </row>
    <row r="17" spans="1:7" x14ac:dyDescent="0.25">
      <c r="A17" s="2" t="s">
        <v>130</v>
      </c>
      <c r="B17" s="4">
        <v>461</v>
      </c>
      <c r="C17" s="4">
        <v>462</v>
      </c>
      <c r="D17" s="4">
        <v>452.01</v>
      </c>
      <c r="E17" s="4">
        <v>455.04</v>
      </c>
      <c r="F17" s="5">
        <v>4407482</v>
      </c>
      <c r="G17" s="2" t="s">
        <v>85</v>
      </c>
    </row>
    <row r="18" spans="1:7" x14ac:dyDescent="0.25">
      <c r="A18" s="2" t="s">
        <v>131</v>
      </c>
      <c r="B18" s="4">
        <v>450</v>
      </c>
      <c r="C18" s="4">
        <v>460</v>
      </c>
      <c r="D18" s="4">
        <v>445.25</v>
      </c>
      <c r="E18" s="4">
        <v>456.6</v>
      </c>
      <c r="F18" s="5">
        <v>4395892</v>
      </c>
      <c r="G18" s="2" t="s">
        <v>85</v>
      </c>
    </row>
    <row r="19" spans="1:7" x14ac:dyDescent="0.25">
      <c r="A19" s="2" t="s">
        <v>132</v>
      </c>
      <c r="B19" s="4">
        <v>431</v>
      </c>
      <c r="C19" s="4">
        <v>443</v>
      </c>
      <c r="D19" s="4">
        <v>427.96</v>
      </c>
      <c r="E19" s="4">
        <v>433.01</v>
      </c>
      <c r="F19" s="5">
        <v>2056126</v>
      </c>
      <c r="G19" s="2" t="s">
        <v>85</v>
      </c>
    </row>
    <row r="20" spans="1:7" x14ac:dyDescent="0.25">
      <c r="A20" s="2" t="s">
        <v>133</v>
      </c>
      <c r="B20" s="4">
        <v>444.7</v>
      </c>
      <c r="C20" s="4">
        <v>447.4</v>
      </c>
      <c r="D20" s="4">
        <v>432</v>
      </c>
      <c r="E20" s="4">
        <v>434.29</v>
      </c>
      <c r="F20" s="5">
        <v>1046576</v>
      </c>
      <c r="G20" s="2" t="s">
        <v>85</v>
      </c>
    </row>
    <row r="21" spans="1:7" x14ac:dyDescent="0.25">
      <c r="A21" s="2" t="s">
        <v>134</v>
      </c>
      <c r="B21" s="4">
        <v>449</v>
      </c>
      <c r="C21" s="4">
        <v>455</v>
      </c>
      <c r="D21" s="4">
        <v>439.5</v>
      </c>
      <c r="E21" s="4">
        <v>445.15</v>
      </c>
      <c r="F21" s="5">
        <v>955502</v>
      </c>
      <c r="G21" s="2" t="s">
        <v>85</v>
      </c>
    </row>
    <row r="22" spans="1:7" x14ac:dyDescent="0.25">
      <c r="A22" s="2" t="s">
        <v>135</v>
      </c>
      <c r="B22" s="4">
        <v>449</v>
      </c>
      <c r="C22" s="4">
        <v>462.39</v>
      </c>
      <c r="D22" s="4">
        <v>449</v>
      </c>
      <c r="E22" s="4">
        <v>450</v>
      </c>
      <c r="F22" s="5">
        <v>1550022</v>
      </c>
      <c r="G22" s="2" t="s">
        <v>85</v>
      </c>
    </row>
    <row r="23" spans="1:7" x14ac:dyDescent="0.25">
      <c r="A23" s="2" t="s">
        <v>136</v>
      </c>
      <c r="B23" s="4">
        <v>441</v>
      </c>
      <c r="C23" s="4">
        <v>448.4</v>
      </c>
      <c r="D23" s="4">
        <v>436.72</v>
      </c>
      <c r="E23" s="4">
        <v>446.42</v>
      </c>
      <c r="F23" s="5">
        <v>1685018</v>
      </c>
      <c r="G23" s="2" t="s">
        <v>85</v>
      </c>
    </row>
    <row r="24" spans="1:7" x14ac:dyDescent="0.25">
      <c r="A24" s="2" t="s">
        <v>137</v>
      </c>
      <c r="B24" s="4">
        <v>453</v>
      </c>
      <c r="C24" s="4">
        <v>456.49</v>
      </c>
      <c r="D24" s="4">
        <v>444.14</v>
      </c>
      <c r="E24" s="4">
        <v>445.63</v>
      </c>
      <c r="F24" s="5">
        <v>1489663</v>
      </c>
      <c r="G24" s="2" t="s">
        <v>85</v>
      </c>
    </row>
    <row r="25" spans="1:7" x14ac:dyDescent="0.25">
      <c r="A25" s="2" t="s">
        <v>138</v>
      </c>
      <c r="B25" s="4">
        <v>444.5</v>
      </c>
      <c r="C25" s="4">
        <v>453.48</v>
      </c>
      <c r="D25" s="4">
        <v>444.5</v>
      </c>
      <c r="E25" s="4">
        <v>451.2</v>
      </c>
      <c r="F25" s="5">
        <v>1390663</v>
      </c>
      <c r="G25" s="2" t="s">
        <v>85</v>
      </c>
    </row>
    <row r="26" spans="1:7" x14ac:dyDescent="0.25">
      <c r="A26" s="2" t="s">
        <v>139</v>
      </c>
      <c r="B26" s="4">
        <v>439.5</v>
      </c>
      <c r="C26" s="4">
        <v>448.75</v>
      </c>
      <c r="D26" s="4">
        <v>439</v>
      </c>
      <c r="E26" s="4">
        <v>442.45</v>
      </c>
      <c r="F26" s="5">
        <v>1226689</v>
      </c>
      <c r="G26" s="2" t="s">
        <v>85</v>
      </c>
    </row>
    <row r="27" spans="1:7" x14ac:dyDescent="0.25">
      <c r="A27" s="2" t="s">
        <v>140</v>
      </c>
      <c r="B27" s="4">
        <v>455</v>
      </c>
      <c r="C27" s="4">
        <v>456.9</v>
      </c>
      <c r="D27" s="4">
        <v>437</v>
      </c>
      <c r="E27" s="4">
        <v>438.68</v>
      </c>
      <c r="F27" s="5">
        <v>2616052</v>
      </c>
      <c r="G27" s="2" t="s">
        <v>85</v>
      </c>
    </row>
    <row r="28" spans="1:7" x14ac:dyDescent="0.25">
      <c r="A28" s="2" t="s">
        <v>141</v>
      </c>
      <c r="B28" s="4">
        <v>463</v>
      </c>
      <c r="C28" s="4">
        <v>465</v>
      </c>
      <c r="D28" s="4">
        <v>457</v>
      </c>
      <c r="E28" s="4">
        <v>459.46</v>
      </c>
      <c r="F28" s="5">
        <v>1271920</v>
      </c>
      <c r="G28" s="2" t="s">
        <v>85</v>
      </c>
    </row>
    <row r="29" spans="1:7" x14ac:dyDescent="0.25">
      <c r="A29" s="2" t="s">
        <v>142</v>
      </c>
      <c r="B29" s="4">
        <v>470</v>
      </c>
      <c r="C29" s="4">
        <v>474.9</v>
      </c>
      <c r="D29" s="4">
        <v>466.99</v>
      </c>
      <c r="E29" s="4">
        <v>468.58</v>
      </c>
      <c r="F29" s="5">
        <v>1064007</v>
      </c>
      <c r="G29" s="2" t="s">
        <v>85</v>
      </c>
    </row>
    <row r="30" spans="1:7" x14ac:dyDescent="0.25">
      <c r="A30" s="2" t="s">
        <v>143</v>
      </c>
      <c r="B30" s="4">
        <v>462</v>
      </c>
      <c r="C30" s="4">
        <v>470</v>
      </c>
      <c r="D30" s="4">
        <v>461.01</v>
      </c>
      <c r="E30" s="4">
        <v>466.59</v>
      </c>
      <c r="F30" s="5">
        <v>2018665</v>
      </c>
      <c r="G30" s="2" t="s">
        <v>85</v>
      </c>
    </row>
    <row r="31" spans="1:7" x14ac:dyDescent="0.25">
      <c r="A31" s="2" t="s">
        <v>144</v>
      </c>
      <c r="B31" s="4">
        <v>477</v>
      </c>
      <c r="C31" s="4">
        <v>479.94</v>
      </c>
      <c r="D31" s="4">
        <v>456</v>
      </c>
      <c r="E31" s="4">
        <v>464.99</v>
      </c>
      <c r="F31" s="5">
        <v>5648437</v>
      </c>
      <c r="G31" s="2" t="s">
        <v>85</v>
      </c>
    </row>
    <row r="32" spans="1:7" x14ac:dyDescent="0.25">
      <c r="A32" s="2" t="s">
        <v>145</v>
      </c>
      <c r="B32" s="4">
        <v>489</v>
      </c>
      <c r="C32" s="4">
        <v>490.5</v>
      </c>
      <c r="D32" s="4">
        <v>480.01</v>
      </c>
      <c r="E32" s="4">
        <v>481.39</v>
      </c>
      <c r="F32" s="5">
        <v>1452331</v>
      </c>
      <c r="G32" s="2" t="s">
        <v>85</v>
      </c>
    </row>
    <row r="33" spans="1:7" x14ac:dyDescent="0.25">
      <c r="A33" s="2" t="s">
        <v>146</v>
      </c>
      <c r="B33" s="4">
        <v>482.89</v>
      </c>
      <c r="C33" s="4">
        <v>490.8</v>
      </c>
      <c r="D33" s="4">
        <v>482</v>
      </c>
      <c r="E33" s="4">
        <v>488.66</v>
      </c>
      <c r="F33" s="5">
        <v>2184221</v>
      </c>
      <c r="G33" s="2" t="s">
        <v>85</v>
      </c>
    </row>
    <row r="34" spans="1:7" x14ac:dyDescent="0.25">
      <c r="A34" s="2" t="s">
        <v>147</v>
      </c>
      <c r="B34" s="4">
        <v>481.05</v>
      </c>
      <c r="C34" s="4">
        <v>484.9</v>
      </c>
      <c r="D34" s="4">
        <v>476</v>
      </c>
      <c r="E34" s="4">
        <v>480.12</v>
      </c>
      <c r="F34" s="5">
        <v>1155247</v>
      </c>
      <c r="G34" s="2" t="s">
        <v>85</v>
      </c>
    </row>
    <row r="35" spans="1:7" x14ac:dyDescent="0.25">
      <c r="A35" s="2" t="s">
        <v>148</v>
      </c>
      <c r="B35" s="4">
        <v>474.9</v>
      </c>
      <c r="C35" s="4">
        <v>484.9</v>
      </c>
      <c r="D35" s="4">
        <v>474.9</v>
      </c>
      <c r="E35" s="4">
        <v>480.03</v>
      </c>
      <c r="F35" s="5">
        <v>3253073</v>
      </c>
      <c r="G35" s="2" t="s">
        <v>85</v>
      </c>
    </row>
    <row r="36" spans="1:7" x14ac:dyDescent="0.25">
      <c r="A36" s="2" t="s">
        <v>149</v>
      </c>
      <c r="B36" s="4">
        <v>470</v>
      </c>
      <c r="C36" s="4">
        <v>474.92</v>
      </c>
      <c r="D36" s="4">
        <v>469.29</v>
      </c>
      <c r="E36" s="4">
        <v>472.38</v>
      </c>
      <c r="F36" s="5">
        <v>2038908</v>
      </c>
      <c r="G36" s="2" t="s">
        <v>85</v>
      </c>
    </row>
    <row r="37" spans="1:7" x14ac:dyDescent="0.25">
      <c r="A37" s="2" t="s">
        <v>150</v>
      </c>
      <c r="B37" s="4">
        <v>462.1</v>
      </c>
      <c r="C37" s="4">
        <v>471.5</v>
      </c>
      <c r="D37" s="4">
        <v>462.1</v>
      </c>
      <c r="E37" s="4">
        <v>469.52</v>
      </c>
      <c r="F37" s="5">
        <v>1320094</v>
      </c>
      <c r="G37" s="2" t="s">
        <v>85</v>
      </c>
    </row>
    <row r="38" spans="1:7" x14ac:dyDescent="0.25">
      <c r="A38" s="2" t="s">
        <v>151</v>
      </c>
      <c r="B38" s="4">
        <v>467.75</v>
      </c>
      <c r="C38" s="4">
        <v>467.75</v>
      </c>
      <c r="D38" s="4">
        <v>460.5</v>
      </c>
      <c r="E38" s="4">
        <v>461.84</v>
      </c>
      <c r="F38" s="5">
        <v>902422</v>
      </c>
      <c r="G38" s="2" t="s">
        <v>85</v>
      </c>
    </row>
    <row r="39" spans="1:7" x14ac:dyDescent="0.25">
      <c r="A39" s="2" t="s">
        <v>152</v>
      </c>
      <c r="B39" s="4">
        <v>458.02</v>
      </c>
      <c r="C39" s="4">
        <v>469</v>
      </c>
      <c r="D39" s="4">
        <v>458.02</v>
      </c>
      <c r="E39" s="4">
        <v>467.75</v>
      </c>
      <c r="F39" s="5">
        <v>1991650</v>
      </c>
      <c r="G39" s="2" t="s">
        <v>85</v>
      </c>
    </row>
    <row r="40" spans="1:7" x14ac:dyDescent="0.25">
      <c r="A40" s="2" t="s">
        <v>153</v>
      </c>
      <c r="B40" s="4">
        <v>460.01</v>
      </c>
      <c r="C40" s="4">
        <v>462.9</v>
      </c>
      <c r="D40" s="4">
        <v>455</v>
      </c>
      <c r="E40" s="4">
        <v>457.47</v>
      </c>
      <c r="F40" s="5">
        <v>1694484</v>
      </c>
      <c r="G40" s="2" t="s">
        <v>85</v>
      </c>
    </row>
    <row r="41" spans="1:7" x14ac:dyDescent="0.25">
      <c r="A41" s="2" t="s">
        <v>154</v>
      </c>
      <c r="B41" s="4">
        <v>465.11</v>
      </c>
      <c r="C41" s="4">
        <v>467.9</v>
      </c>
      <c r="D41" s="4">
        <v>457.5</v>
      </c>
      <c r="E41" s="4">
        <v>459.06</v>
      </c>
      <c r="F41" s="5">
        <v>1538353</v>
      </c>
      <c r="G41" s="2" t="s">
        <v>85</v>
      </c>
    </row>
    <row r="42" spans="1:7" x14ac:dyDescent="0.25">
      <c r="A42" s="2" t="s">
        <v>155</v>
      </c>
      <c r="B42" s="4">
        <v>471</v>
      </c>
      <c r="C42" s="4">
        <v>472.99</v>
      </c>
      <c r="D42" s="4">
        <v>459</v>
      </c>
      <c r="E42" s="4">
        <v>462.98</v>
      </c>
      <c r="F42" s="5">
        <v>2737636</v>
      </c>
      <c r="G42" s="2" t="s">
        <v>85</v>
      </c>
    </row>
    <row r="43" spans="1:7" x14ac:dyDescent="0.25">
      <c r="A43" s="2" t="s">
        <v>156</v>
      </c>
      <c r="B43" s="4">
        <v>472</v>
      </c>
      <c r="C43" s="4">
        <v>477</v>
      </c>
      <c r="D43" s="4">
        <v>469.99</v>
      </c>
      <c r="E43" s="4">
        <v>471.57</v>
      </c>
      <c r="F43" s="5">
        <v>2098556</v>
      </c>
      <c r="G43" s="2" t="s">
        <v>85</v>
      </c>
    </row>
    <row r="44" spans="1:7" x14ac:dyDescent="0.25">
      <c r="A44" s="2" t="s">
        <v>157</v>
      </c>
      <c r="B44" s="4">
        <v>470</v>
      </c>
      <c r="C44" s="4">
        <v>475</v>
      </c>
      <c r="D44" s="4">
        <v>464.16</v>
      </c>
      <c r="E44" s="4">
        <v>470.61</v>
      </c>
      <c r="F44" s="5">
        <v>3055536</v>
      </c>
      <c r="G44" s="2" t="s">
        <v>85</v>
      </c>
    </row>
    <row r="45" spans="1:7" x14ac:dyDescent="0.25">
      <c r="A45" s="2" t="s">
        <v>158</v>
      </c>
      <c r="B45" s="4">
        <v>472.5</v>
      </c>
      <c r="C45" s="4">
        <v>475.9</v>
      </c>
      <c r="D45" s="4">
        <v>463.63</v>
      </c>
      <c r="E45" s="4">
        <v>469.82</v>
      </c>
      <c r="F45" s="5">
        <v>4277568</v>
      </c>
      <c r="G45" s="2" t="s">
        <v>85</v>
      </c>
    </row>
    <row r="46" spans="1:7" x14ac:dyDescent="0.25">
      <c r="A46" s="2" t="s">
        <v>159</v>
      </c>
      <c r="B46" s="4">
        <v>470</v>
      </c>
      <c r="C46" s="4">
        <v>472.4</v>
      </c>
      <c r="D46" s="4">
        <v>460.9</v>
      </c>
      <c r="E46" s="4">
        <v>469.36</v>
      </c>
      <c r="F46" s="5">
        <v>6516394</v>
      </c>
      <c r="G46" s="2" t="s">
        <v>85</v>
      </c>
    </row>
    <row r="47" spans="1:7" x14ac:dyDescent="0.25">
      <c r="A47" s="2" t="s">
        <v>160</v>
      </c>
      <c r="B47" s="4">
        <v>438.88</v>
      </c>
      <c r="C47" s="4">
        <v>454.01</v>
      </c>
      <c r="D47" s="4">
        <v>436.52</v>
      </c>
      <c r="E47" s="4">
        <v>449.11</v>
      </c>
      <c r="F47" s="5">
        <v>5436081</v>
      </c>
      <c r="G47" s="2" t="s">
        <v>85</v>
      </c>
    </row>
    <row r="48" spans="1:7" x14ac:dyDescent="0.25">
      <c r="A48" s="2" t="s">
        <v>161</v>
      </c>
      <c r="B48" s="4">
        <v>427</v>
      </c>
      <c r="C48" s="4">
        <v>434.9</v>
      </c>
      <c r="D48" s="4">
        <v>422</v>
      </c>
      <c r="E48" s="4">
        <v>433.09</v>
      </c>
      <c r="F48" s="5">
        <v>3275763</v>
      </c>
      <c r="G48" s="2" t="s">
        <v>85</v>
      </c>
    </row>
    <row r="49" spans="1:7" x14ac:dyDescent="0.25">
      <c r="A49" s="2" t="s">
        <v>162</v>
      </c>
      <c r="B49" s="4">
        <v>431</v>
      </c>
      <c r="C49" s="4">
        <v>435</v>
      </c>
      <c r="D49" s="4">
        <v>427</v>
      </c>
      <c r="E49" s="4">
        <v>429.35</v>
      </c>
      <c r="F49" s="5">
        <v>1587252</v>
      </c>
      <c r="G49" s="2" t="s">
        <v>85</v>
      </c>
    </row>
    <row r="50" spans="1:7" x14ac:dyDescent="0.25">
      <c r="A50" s="2" t="s">
        <v>163</v>
      </c>
      <c r="B50" s="4">
        <v>432.99</v>
      </c>
      <c r="C50" s="4">
        <v>438</v>
      </c>
      <c r="D50" s="4">
        <v>431</v>
      </c>
      <c r="E50" s="4">
        <v>432.15</v>
      </c>
      <c r="F50" s="5">
        <v>3790348</v>
      </c>
      <c r="G50" s="2" t="s">
        <v>85</v>
      </c>
    </row>
    <row r="51" spans="1:7" x14ac:dyDescent="0.25">
      <c r="A51" s="2" t="s">
        <v>164</v>
      </c>
      <c r="B51" s="4">
        <v>426</v>
      </c>
      <c r="C51" s="4">
        <v>429.9</v>
      </c>
      <c r="D51" s="4">
        <v>423.5</v>
      </c>
      <c r="E51" s="4">
        <v>426.49</v>
      </c>
      <c r="F51" s="5">
        <v>1162090</v>
      </c>
      <c r="G51" s="2" t="s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5" width="24" customWidth="1"/>
    <col min="6" max="6" width="43.28515625" bestFit="1" customWidth="1"/>
  </cols>
  <sheetData>
    <row r="1" spans="1:6" x14ac:dyDescent="0.25">
      <c r="A1" s="1" t="s">
        <v>165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25</v>
      </c>
    </row>
    <row r="2" spans="1:6" x14ac:dyDescent="0.25">
      <c r="A2" s="2" t="s">
        <v>166</v>
      </c>
      <c r="B2" s="3">
        <v>81.126000000000005</v>
      </c>
      <c r="C2" s="3">
        <v>95.843000000000004</v>
      </c>
      <c r="D2" s="3">
        <v>115.34099999999999</v>
      </c>
      <c r="E2" s="3">
        <v>124.565</v>
      </c>
      <c r="F2" s="3" t="s">
        <v>167</v>
      </c>
    </row>
    <row r="3" spans="1:6" x14ac:dyDescent="0.25">
      <c r="A3" s="2" t="s">
        <v>168</v>
      </c>
      <c r="B3" s="3">
        <v>36.677999999999997</v>
      </c>
      <c r="C3" s="3">
        <v>40.451999999999998</v>
      </c>
      <c r="D3" s="3">
        <v>40.284999999999997</v>
      </c>
      <c r="E3" s="3">
        <v>39.731000000000002</v>
      </c>
      <c r="F3" s="3" t="s">
        <v>167</v>
      </c>
    </row>
    <row r="4" spans="1:6" x14ac:dyDescent="0.25">
      <c r="A4" s="2" t="s">
        <v>169</v>
      </c>
      <c r="B4" s="3">
        <v>25.064</v>
      </c>
      <c r="C4" s="3">
        <v>41.417000000000002</v>
      </c>
      <c r="D4" s="3">
        <v>47.564999999999998</v>
      </c>
      <c r="E4" s="3">
        <v>39.764000000000003</v>
      </c>
      <c r="F4" s="3" t="s">
        <v>167</v>
      </c>
    </row>
    <row r="5" spans="1:6" x14ac:dyDescent="0.25">
      <c r="A5" s="2" t="s">
        <v>170</v>
      </c>
      <c r="B5" s="3">
        <v>8.8859999999999992</v>
      </c>
      <c r="C5" s="3">
        <v>9.1590000000000007</v>
      </c>
      <c r="D5" s="3">
        <v>12.212</v>
      </c>
      <c r="E5" s="3">
        <v>21.042999999999999</v>
      </c>
      <c r="F5" s="3" t="s">
        <v>167</v>
      </c>
    </row>
    <row r="6" spans="1:6" x14ac:dyDescent="0.25">
      <c r="A6" s="2" t="s">
        <v>171</v>
      </c>
      <c r="B6" s="3">
        <v>14.726000000000001</v>
      </c>
      <c r="C6" s="3">
        <v>18.559000000000001</v>
      </c>
      <c r="D6" s="3">
        <v>20.494</v>
      </c>
      <c r="E6" s="3">
        <v>19.521000000000001</v>
      </c>
      <c r="F6" s="3" t="s">
        <v>167</v>
      </c>
    </row>
    <row r="7" spans="1:6" x14ac:dyDescent="0.25">
      <c r="A7" s="2" t="s">
        <v>172</v>
      </c>
      <c r="B7" s="3">
        <v>124.61</v>
      </c>
      <c r="C7" s="3">
        <v>82.238</v>
      </c>
      <c r="D7" s="3">
        <v>85.134</v>
      </c>
      <c r="E7" s="3">
        <v>136.13999999999999</v>
      </c>
      <c r="F7" s="3" t="s">
        <v>167</v>
      </c>
    </row>
    <row r="8" spans="1:6" x14ac:dyDescent="0.25">
      <c r="A8" s="2" t="s">
        <v>173</v>
      </c>
      <c r="B8" s="3">
        <v>33.786000000000001</v>
      </c>
      <c r="C8" s="3">
        <v>98.28</v>
      </c>
      <c r="D8" s="3">
        <v>90.953999999999994</v>
      </c>
      <c r="E8" s="3">
        <v>70.08</v>
      </c>
      <c r="F8" s="3" t="s">
        <v>167</v>
      </c>
    </row>
    <row r="9" spans="1:6" x14ac:dyDescent="0.25">
      <c r="A9" s="2" t="s">
        <v>174</v>
      </c>
      <c r="B9" s="3">
        <v>3.8079999999999998</v>
      </c>
      <c r="C9" s="3">
        <v>1.802</v>
      </c>
      <c r="D9" s="3">
        <v>1.536</v>
      </c>
      <c r="E9" s="3">
        <v>1.4119999999999999</v>
      </c>
      <c r="F9" s="3" t="s">
        <v>167</v>
      </c>
    </row>
    <row r="10" spans="1:6" x14ac:dyDescent="0.25">
      <c r="A10" s="2" t="s">
        <v>175</v>
      </c>
      <c r="B10" s="3">
        <v>-3.2839999999999998</v>
      </c>
      <c r="C10" s="3">
        <v>-2.625</v>
      </c>
      <c r="D10" s="3">
        <v>-2.5270000000000001</v>
      </c>
      <c r="E10" s="3">
        <v>-2.6259999999999999</v>
      </c>
      <c r="F10" s="3" t="s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opLeftCell="B1" workbookViewId="0">
      <pane ySplit="1" topLeftCell="A53" activePane="bottomLeft" state="frozen"/>
      <selection pane="bottomLeft" activeCell="I64" sqref="I64"/>
    </sheetView>
  </sheetViews>
  <sheetFormatPr defaultRowHeight="15" x14ac:dyDescent="0.25"/>
  <cols>
    <col min="1" max="1" width="38" customWidth="1"/>
    <col min="2" max="3" width="24" customWidth="1"/>
    <col min="4" max="4" width="26.5703125" bestFit="1" customWidth="1"/>
    <col min="5" max="5" width="41.7109375" bestFit="1" customWidth="1"/>
    <col min="6" max="6" width="7.5703125" bestFit="1" customWidth="1"/>
    <col min="8" max="8" width="68.42578125" bestFit="1" customWidth="1"/>
    <col min="9" max="9" width="12" bestFit="1" customWidth="1"/>
    <col min="10" max="11" width="11.85546875" bestFit="1" customWidth="1"/>
    <col min="12" max="12" width="12.140625" customWidth="1"/>
    <col min="13" max="13" width="11.85546875" bestFit="1" customWidth="1"/>
  </cols>
  <sheetData>
    <row r="1" spans="1:5" x14ac:dyDescent="0.25">
      <c r="A1" s="1" t="s">
        <v>176</v>
      </c>
      <c r="B1" s="1" t="s">
        <v>82</v>
      </c>
      <c r="C1" s="1" t="s">
        <v>177</v>
      </c>
      <c r="D1" s="1" t="s">
        <v>178</v>
      </c>
      <c r="E1" s="1" t="s">
        <v>179</v>
      </c>
    </row>
    <row r="2" spans="1:5" x14ac:dyDescent="0.25">
      <c r="A2" s="2" t="s">
        <v>180</v>
      </c>
      <c r="B2" s="2">
        <v>436.66</v>
      </c>
      <c r="C2" s="2" t="s">
        <v>181</v>
      </c>
      <c r="D2" s="2" t="s">
        <v>182</v>
      </c>
      <c r="E2" s="2" t="s">
        <v>18</v>
      </c>
    </row>
    <row r="3" spans="1:5" x14ac:dyDescent="0.25">
      <c r="A3" s="2" t="s">
        <v>183</v>
      </c>
      <c r="B3" s="2">
        <v>1465</v>
      </c>
      <c r="C3" s="2" t="s">
        <v>184</v>
      </c>
      <c r="D3" s="2" t="s">
        <v>182</v>
      </c>
      <c r="E3" s="2" t="s">
        <v>185</v>
      </c>
    </row>
    <row r="4" spans="1:5" x14ac:dyDescent="0.25">
      <c r="A4" s="2" t="s">
        <v>186</v>
      </c>
      <c r="B4" s="2">
        <v>516358.81099999999</v>
      </c>
      <c r="C4" s="2" t="s">
        <v>187</v>
      </c>
      <c r="D4" s="2" t="s">
        <v>188</v>
      </c>
      <c r="E4" s="2" t="s">
        <v>189</v>
      </c>
    </row>
    <row r="5" spans="1:5" x14ac:dyDescent="0.25">
      <c r="A5" s="2" t="s">
        <v>190</v>
      </c>
      <c r="B5" s="2">
        <v>96456.240999999995</v>
      </c>
      <c r="C5" s="2" t="s">
        <v>187</v>
      </c>
      <c r="D5" s="2" t="s">
        <v>188</v>
      </c>
      <c r="E5" s="2" t="s">
        <v>189</v>
      </c>
    </row>
    <row r="6" spans="1:5" x14ac:dyDescent="0.25">
      <c r="A6" s="2" t="s">
        <v>191</v>
      </c>
      <c r="B6" s="2">
        <v>54831</v>
      </c>
      <c r="C6" s="2" t="s">
        <v>187</v>
      </c>
      <c r="D6" s="2" t="s">
        <v>188</v>
      </c>
      <c r="E6" s="2" t="s">
        <v>192</v>
      </c>
    </row>
    <row r="7" spans="1:5" x14ac:dyDescent="0.25">
      <c r="A7" s="2" t="s">
        <v>193</v>
      </c>
      <c r="B7" s="2">
        <v>-21377</v>
      </c>
      <c r="C7" s="2" t="s">
        <v>187</v>
      </c>
      <c r="D7" s="2" t="s">
        <v>188</v>
      </c>
      <c r="E7" s="2" t="s">
        <v>192</v>
      </c>
    </row>
    <row r="8" spans="1:5" x14ac:dyDescent="0.25">
      <c r="A8" s="2" t="s">
        <v>194</v>
      </c>
      <c r="B8" s="2">
        <v>33453</v>
      </c>
      <c r="C8" s="2" t="s">
        <v>187</v>
      </c>
      <c r="D8" s="2" t="s">
        <v>188</v>
      </c>
      <c r="E8" s="2" t="s">
        <v>192</v>
      </c>
    </row>
    <row r="9" spans="1:5" x14ac:dyDescent="0.25">
      <c r="A9" s="2" t="s">
        <v>195</v>
      </c>
      <c r="B9" s="2">
        <v>184974</v>
      </c>
      <c r="C9" s="2" t="s">
        <v>187</v>
      </c>
      <c r="D9" s="2" t="s">
        <v>188</v>
      </c>
      <c r="E9" s="2" t="s">
        <v>192</v>
      </c>
    </row>
    <row r="10" spans="1:5" x14ac:dyDescent="0.25">
      <c r="A10" s="2" t="s">
        <v>196</v>
      </c>
      <c r="B10" s="2">
        <v>181961</v>
      </c>
      <c r="C10" s="2" t="s">
        <v>187</v>
      </c>
      <c r="D10" s="2" t="s">
        <v>188</v>
      </c>
      <c r="E10" s="2" t="s">
        <v>192</v>
      </c>
    </row>
    <row r="11" spans="1:5" x14ac:dyDescent="0.25">
      <c r="A11" s="2" t="s">
        <v>197</v>
      </c>
      <c r="B11" s="15">
        <f>19734.002/116190.243</f>
        <v>0.16984216135945254</v>
      </c>
      <c r="C11" s="2" t="s">
        <v>198</v>
      </c>
      <c r="D11" s="2" t="s">
        <v>199</v>
      </c>
      <c r="E11" s="2" t="s">
        <v>200</v>
      </c>
    </row>
    <row r="12" spans="1:5" x14ac:dyDescent="0.25">
      <c r="A12" s="2" t="s">
        <v>201</v>
      </c>
      <c r="B12" s="15">
        <v>0.12089999999999999</v>
      </c>
      <c r="C12" s="2" t="s">
        <v>198</v>
      </c>
      <c r="D12" s="2" t="s">
        <v>202</v>
      </c>
      <c r="E12" s="2" t="s">
        <v>203</v>
      </c>
    </row>
    <row r="13" spans="1:5" x14ac:dyDescent="0.25">
      <c r="A13" s="2" t="s">
        <v>204</v>
      </c>
      <c r="B13" s="2">
        <v>0.56999999999999995</v>
      </c>
      <c r="C13" s="2" t="s">
        <v>205</v>
      </c>
      <c r="D13" s="2" t="s">
        <v>202</v>
      </c>
      <c r="E13" s="2" t="s">
        <v>206</v>
      </c>
    </row>
    <row r="14" spans="1:5" x14ac:dyDescent="0.25">
      <c r="A14" s="2" t="s">
        <v>207</v>
      </c>
      <c r="B14" s="15">
        <v>0.1394</v>
      </c>
      <c r="C14" s="2" t="s">
        <v>198</v>
      </c>
      <c r="D14" s="2" t="s">
        <v>202</v>
      </c>
      <c r="E14" s="2" t="s">
        <v>208</v>
      </c>
    </row>
    <row r="15" spans="1:5" x14ac:dyDescent="0.25">
      <c r="A15" s="2" t="s">
        <v>209</v>
      </c>
      <c r="B15" s="15">
        <v>0.1021</v>
      </c>
      <c r="C15" s="2" t="s">
        <v>198</v>
      </c>
      <c r="D15" s="2" t="s">
        <v>210</v>
      </c>
      <c r="E15" s="2" t="s">
        <v>211</v>
      </c>
    </row>
    <row r="16" spans="1:5" ht="15.75" x14ac:dyDescent="0.25">
      <c r="A16" s="25" t="s">
        <v>212</v>
      </c>
      <c r="B16" s="15">
        <f>(71.93%*20.04%)+(28.07%*10.21%*(1-16.98%))</f>
        <v>0.16794081199400002</v>
      </c>
      <c r="C16" s="2" t="s">
        <v>198</v>
      </c>
      <c r="D16" s="2" t="s">
        <v>199</v>
      </c>
      <c r="E16" s="2" t="s">
        <v>213</v>
      </c>
    </row>
    <row r="17" spans="1:6" x14ac:dyDescent="0.25">
      <c r="A17" s="2" t="s">
        <v>228</v>
      </c>
      <c r="B17" t="s">
        <v>229</v>
      </c>
      <c r="C17" s="2" t="s">
        <v>230</v>
      </c>
      <c r="D17" s="2" t="s">
        <v>231</v>
      </c>
      <c r="E17" s="2" t="s">
        <v>232</v>
      </c>
      <c r="F17" s="2" t="s">
        <v>233</v>
      </c>
    </row>
    <row r="18" spans="1:6" x14ac:dyDescent="0.25">
      <c r="A18" s="2" t="s">
        <v>216</v>
      </c>
      <c r="B18" s="10">
        <v>0.12</v>
      </c>
      <c r="C18" s="10">
        <v>0.115</v>
      </c>
      <c r="D18" s="10">
        <v>0.11</v>
      </c>
      <c r="E18" s="10">
        <v>0.105</v>
      </c>
      <c r="F18" s="10">
        <v>0.1</v>
      </c>
    </row>
    <row r="19" spans="1:6" x14ac:dyDescent="0.25">
      <c r="A19" s="2" t="s">
        <v>30</v>
      </c>
      <c r="B19" s="12">
        <f>516.359*(1+B18)</f>
        <v>578.32208000000014</v>
      </c>
      <c r="C19" s="12">
        <f>B19*(1+C18)</f>
        <v>644.82911920000015</v>
      </c>
      <c r="D19" s="12">
        <f>C19*(1+D18)</f>
        <v>715.7603223120002</v>
      </c>
      <c r="E19" s="12">
        <f>D19*(1+E18)</f>
        <v>790.91515615476021</v>
      </c>
      <c r="F19" s="12">
        <f>E19*(1+F18)</f>
        <v>870.00667177023627</v>
      </c>
    </row>
    <row r="20" spans="1:6" x14ac:dyDescent="0.25">
      <c r="A20" s="2" t="s">
        <v>234</v>
      </c>
      <c r="B20" s="10">
        <v>0.2</v>
      </c>
      <c r="C20" s="10">
        <v>0.20250000000000001</v>
      </c>
      <c r="D20" s="10">
        <v>0.20499999999999999</v>
      </c>
      <c r="E20" s="10">
        <v>0.20749999999999999</v>
      </c>
      <c r="F20" s="10">
        <v>0.21</v>
      </c>
    </row>
    <row r="21" spans="1:6" x14ac:dyDescent="0.25">
      <c r="A21" s="2" t="s">
        <v>235</v>
      </c>
      <c r="B21" s="12">
        <f>B19*B20</f>
        <v>115.66441600000003</v>
      </c>
      <c r="C21" s="12">
        <f>C19*C20</f>
        <v>130.57789663800003</v>
      </c>
      <c r="D21" s="12">
        <f>D19*D20</f>
        <v>146.73086607396004</v>
      </c>
      <c r="E21" s="12">
        <f>E19*E20</f>
        <v>164.11489490211272</v>
      </c>
      <c r="F21" s="12">
        <f>F19*F20</f>
        <v>182.70140107174961</v>
      </c>
    </row>
    <row r="22" spans="1:6" x14ac:dyDescent="0.25">
      <c r="A22" s="2" t="s">
        <v>236</v>
      </c>
      <c r="B22" s="10">
        <v>0.05</v>
      </c>
      <c r="C22" s="10">
        <v>0.05</v>
      </c>
      <c r="D22" s="10">
        <v>0.05</v>
      </c>
      <c r="E22" s="10">
        <v>0.05</v>
      </c>
      <c r="F22" s="10">
        <v>0.05</v>
      </c>
    </row>
    <row r="23" spans="1:6" x14ac:dyDescent="0.25">
      <c r="A23" s="2" t="s">
        <v>237</v>
      </c>
      <c r="B23" s="12">
        <f>B19*B22</f>
        <v>28.916104000000008</v>
      </c>
      <c r="C23" s="12">
        <f>C19*C22</f>
        <v>32.24145596000001</v>
      </c>
      <c r="D23" s="12">
        <f t="shared" ref="D23:F23" si="0">D19*D22</f>
        <v>35.788016115600009</v>
      </c>
      <c r="E23" s="12">
        <f t="shared" si="0"/>
        <v>39.545757807738013</v>
      </c>
      <c r="F23" s="12">
        <f t="shared" si="0"/>
        <v>43.500333588511815</v>
      </c>
    </row>
    <row r="24" spans="1:6" x14ac:dyDescent="0.25">
      <c r="A24" s="2" t="s">
        <v>238</v>
      </c>
      <c r="B24" s="12">
        <f>B21-B23</f>
        <v>86.748312000000027</v>
      </c>
      <c r="C24" s="12">
        <f>C21-C23</f>
        <v>98.336440678000017</v>
      </c>
      <c r="D24" s="12">
        <f>D21-D23</f>
        <v>110.94284995836003</v>
      </c>
      <c r="E24" s="12">
        <f>E21-E23</f>
        <v>124.56913709437471</v>
      </c>
      <c r="F24" s="12">
        <f>F21-F23</f>
        <v>139.20106748323781</v>
      </c>
    </row>
    <row r="25" spans="1:6" x14ac:dyDescent="0.25">
      <c r="A25" s="2" t="s">
        <v>239</v>
      </c>
      <c r="B25" s="10">
        <v>0.28999999999999998</v>
      </c>
      <c r="C25" s="10">
        <v>0.28999999999999998</v>
      </c>
      <c r="D25" s="10">
        <v>0.28999999999999998</v>
      </c>
      <c r="E25" s="10">
        <v>0.28999999999999998</v>
      </c>
      <c r="F25" s="10">
        <v>0.28999999999999998</v>
      </c>
    </row>
    <row r="26" spans="1:6" x14ac:dyDescent="0.25">
      <c r="A26" s="2" t="s">
        <v>240</v>
      </c>
      <c r="B26" s="12">
        <f>B24*B25</f>
        <v>25.157010480000007</v>
      </c>
      <c r="C26" s="12">
        <f t="shared" ref="C26:F26" si="1">C24*C25</f>
        <v>28.517567796620003</v>
      </c>
      <c r="D26" s="12">
        <f t="shared" si="1"/>
        <v>32.173426487924409</v>
      </c>
      <c r="E26" s="12">
        <f t="shared" si="1"/>
        <v>36.125049757368664</v>
      </c>
      <c r="F26" s="12">
        <f t="shared" si="1"/>
        <v>40.368309570138962</v>
      </c>
    </row>
    <row r="27" spans="1:6" x14ac:dyDescent="0.25">
      <c r="A27" s="2" t="s">
        <v>241</v>
      </c>
      <c r="B27" s="12">
        <f>B24-B26</f>
        <v>61.591301520000016</v>
      </c>
      <c r="C27" s="12">
        <f t="shared" ref="C27:F27" si="2">C24-C26</f>
        <v>69.818872881380017</v>
      </c>
      <c r="D27" s="12">
        <f t="shared" si="2"/>
        <v>78.769423470435612</v>
      </c>
      <c r="E27" s="12">
        <f t="shared" si="2"/>
        <v>88.444087337006039</v>
      </c>
      <c r="F27" s="12">
        <f t="shared" si="2"/>
        <v>98.832757913098845</v>
      </c>
    </row>
    <row r="28" spans="1:6" x14ac:dyDescent="0.25">
      <c r="A28" s="2" t="s">
        <v>242</v>
      </c>
      <c r="B28" s="10">
        <v>0.06</v>
      </c>
      <c r="C28" s="10">
        <v>0.06</v>
      </c>
      <c r="D28" s="10">
        <v>0.06</v>
      </c>
      <c r="E28" s="10">
        <v>0.06</v>
      </c>
      <c r="F28" s="10">
        <v>0.06</v>
      </c>
    </row>
    <row r="29" spans="1:6" x14ac:dyDescent="0.25">
      <c r="A29" s="2" t="s">
        <v>243</v>
      </c>
      <c r="B29" s="10">
        <v>0.01</v>
      </c>
      <c r="C29" s="10">
        <v>0.01</v>
      </c>
      <c r="D29" s="10">
        <v>0.01</v>
      </c>
      <c r="E29" s="10">
        <v>0.01</v>
      </c>
      <c r="F29" s="10">
        <v>0.01</v>
      </c>
    </row>
    <row r="30" spans="1:6" x14ac:dyDescent="0.25">
      <c r="A30" s="2" t="s">
        <v>244</v>
      </c>
      <c r="B30" s="12">
        <f>B19*B28</f>
        <v>34.699324800000007</v>
      </c>
      <c r="C30" s="12">
        <f t="shared" ref="C30:F30" si="3">C19*C28</f>
        <v>38.68974715200001</v>
      </c>
      <c r="D30" s="12">
        <f t="shared" si="3"/>
        <v>42.945619338720007</v>
      </c>
      <c r="E30" s="12">
        <f t="shared" si="3"/>
        <v>47.454909369285609</v>
      </c>
      <c r="F30" s="12">
        <f t="shared" si="3"/>
        <v>52.200400306214171</v>
      </c>
    </row>
    <row r="31" spans="1:6" x14ac:dyDescent="0.25">
      <c r="A31" s="2" t="s">
        <v>245</v>
      </c>
      <c r="B31" s="12">
        <f>B19*B29</f>
        <v>5.7832208000000014</v>
      </c>
      <c r="C31" s="12">
        <f t="shared" ref="C31:F31" si="4">C19*C29</f>
        <v>6.4482911920000019</v>
      </c>
      <c r="D31" s="12">
        <f t="shared" si="4"/>
        <v>7.1576032231200024</v>
      </c>
      <c r="E31" s="12">
        <f t="shared" si="4"/>
        <v>7.9091515615476027</v>
      </c>
      <c r="F31" s="12">
        <f t="shared" si="4"/>
        <v>8.700066717702363</v>
      </c>
    </row>
    <row r="32" spans="1:6" ht="15.75" x14ac:dyDescent="0.25">
      <c r="A32" s="25" t="s">
        <v>246</v>
      </c>
      <c r="B32" s="12">
        <f>B27+B23-B30-B31</f>
        <v>50.024859920000011</v>
      </c>
      <c r="C32" s="12">
        <f t="shared" ref="C32:F32" si="5">C27+C23-C30-C31</f>
        <v>56.922290497380018</v>
      </c>
      <c r="D32" s="12">
        <f t="shared" si="5"/>
        <v>64.454217024195614</v>
      </c>
      <c r="E32" s="12">
        <f t="shared" si="5"/>
        <v>72.625784213910848</v>
      </c>
      <c r="F32" s="12">
        <f t="shared" si="5"/>
        <v>81.432624477694134</v>
      </c>
    </row>
    <row r="33" spans="1:9" x14ac:dyDescent="0.25">
      <c r="A33" s="2" t="s">
        <v>247</v>
      </c>
      <c r="B33">
        <v>1</v>
      </c>
      <c r="C33">
        <v>2</v>
      </c>
      <c r="D33">
        <v>3</v>
      </c>
      <c r="E33">
        <v>4</v>
      </c>
      <c r="F33">
        <v>5</v>
      </c>
    </row>
    <row r="34" spans="1:9" x14ac:dyDescent="0.25">
      <c r="A34" s="2" t="s">
        <v>248</v>
      </c>
      <c r="B34" s="12">
        <f>1/(1+$B$16)^B33</f>
        <v>0.85620777160164618</v>
      </c>
      <c r="C34" s="12">
        <f t="shared" ref="C34:F34" si="6">1/(1+$B$16)^C33</f>
        <v>0.73309174815105682</v>
      </c>
      <c r="D34" s="12">
        <f t="shared" si="6"/>
        <v>0.62767885206397156</v>
      </c>
      <c r="E34" s="12">
        <f t="shared" si="6"/>
        <v>0.53742351120717247</v>
      </c>
      <c r="F34" s="12">
        <f t="shared" si="6"/>
        <v>0.46014618693702547</v>
      </c>
    </row>
    <row r="35" spans="1:9" x14ac:dyDescent="0.25">
      <c r="A35" s="2" t="s">
        <v>249</v>
      </c>
      <c r="B35" s="12">
        <f>B32*B34</f>
        <v>42.831673836787715</v>
      </c>
      <c r="C35" s="12">
        <f t="shared" ref="C35:F35" si="7">C32*C34</f>
        <v>41.729261449486607</v>
      </c>
      <c r="D35" s="12">
        <f t="shared" si="7"/>
        <v>40.456548952429195</v>
      </c>
      <c r="E35" s="12">
        <f t="shared" si="7"/>
        <v>39.030803956414402</v>
      </c>
      <c r="F35" s="12">
        <f t="shared" si="7"/>
        <v>37.470911645685639</v>
      </c>
    </row>
    <row r="36" spans="1:9" x14ac:dyDescent="0.25">
      <c r="A36" s="2" t="s">
        <v>250</v>
      </c>
      <c r="B36" s="10">
        <v>0.03</v>
      </c>
      <c r="F36" s="12"/>
    </row>
    <row r="37" spans="1:9" ht="15.75" x14ac:dyDescent="0.25">
      <c r="A37" s="25" t="s">
        <v>251</v>
      </c>
      <c r="F37" s="16">
        <f>F32*(1+B36)/($B$16-B36)</f>
        <v>608.05502011742021</v>
      </c>
    </row>
    <row r="38" spans="1:9" x14ac:dyDescent="0.25">
      <c r="A38" s="2" t="s">
        <v>252</v>
      </c>
      <c r="F38" s="16">
        <f>F37*F34</f>
        <v>279.79419895494721</v>
      </c>
    </row>
    <row r="39" spans="1:9" x14ac:dyDescent="0.25">
      <c r="A39" s="2" t="s">
        <v>253</v>
      </c>
      <c r="B39" s="16">
        <f>SUM(B35:F35)+F38</f>
        <v>481.31339879575074</v>
      </c>
    </row>
    <row r="40" spans="1:9" x14ac:dyDescent="0.25">
      <c r="A40" s="2" t="s">
        <v>254</v>
      </c>
      <c r="B40">
        <v>176.114</v>
      </c>
    </row>
    <row r="41" spans="1:9" x14ac:dyDescent="0.25">
      <c r="A41" s="2" t="s">
        <v>255</v>
      </c>
      <c r="B41" s="16">
        <f>B39-B40</f>
        <v>305.19939879575077</v>
      </c>
    </row>
    <row r="42" spans="1:9" x14ac:dyDescent="0.25">
      <c r="A42" s="2" t="s">
        <v>256</v>
      </c>
      <c r="B42">
        <v>1465</v>
      </c>
    </row>
    <row r="43" spans="1:9" x14ac:dyDescent="0.25">
      <c r="A43" s="2" t="s">
        <v>257</v>
      </c>
      <c r="B43" s="11">
        <f>B41*1000/B42</f>
        <v>208.32723467286741</v>
      </c>
    </row>
    <row r="44" spans="1:9" x14ac:dyDescent="0.25">
      <c r="A44" s="2" t="s">
        <v>258</v>
      </c>
      <c r="B44">
        <v>436.66</v>
      </c>
    </row>
    <row r="45" spans="1:9" x14ac:dyDescent="0.25">
      <c r="A45" s="2" t="s">
        <v>259</v>
      </c>
      <c r="B45" s="10">
        <f>(B43-B44)/B44</f>
        <v>-0.52290744590100446</v>
      </c>
    </row>
    <row r="48" spans="1:9" ht="15.75" thickBot="1" x14ac:dyDescent="0.3">
      <c r="I48" s="18"/>
    </row>
    <row r="49" spans="2:14" ht="24.75" thickTop="1" thickBot="1" x14ac:dyDescent="0.3">
      <c r="H49" s="31" t="s">
        <v>260</v>
      </c>
      <c r="I49" s="31"/>
      <c r="J49" s="31"/>
      <c r="K49" s="31"/>
      <c r="L49" s="31"/>
      <c r="M49" s="31"/>
      <c r="N49" s="17"/>
    </row>
    <row r="50" spans="2:14" ht="15.75" thickTop="1" x14ac:dyDescent="0.25">
      <c r="H50" s="28">
        <f>B43</f>
        <v>208.32723467286741</v>
      </c>
      <c r="I50" s="28"/>
      <c r="J50" s="28"/>
      <c r="K50" s="28"/>
      <c r="L50" s="28"/>
      <c r="M50" s="28"/>
      <c r="N50" s="27"/>
    </row>
    <row r="51" spans="2:14" ht="18.75" x14ac:dyDescent="0.25">
      <c r="H51" s="32" t="s">
        <v>261</v>
      </c>
      <c r="I51" s="29">
        <v>0.14000000000000001</v>
      </c>
      <c r="J51" s="29">
        <v>0.15</v>
      </c>
      <c r="K51" s="29">
        <v>0.16</v>
      </c>
      <c r="L51" s="29">
        <v>0.17</v>
      </c>
      <c r="M51" s="29">
        <v>0.18</v>
      </c>
    </row>
    <row r="52" spans="2:14" x14ac:dyDescent="0.25">
      <c r="H52" s="29">
        <v>0.02</v>
      </c>
      <c r="I52" s="28">
        <v>272.94</v>
      </c>
      <c r="J52" s="28">
        <v>240.6</v>
      </c>
      <c r="K52" s="28">
        <v>212.94</v>
      </c>
      <c r="L52" s="28">
        <v>189.03</v>
      </c>
      <c r="M52" s="28">
        <v>168.17</v>
      </c>
    </row>
    <row r="53" spans="2:14" x14ac:dyDescent="0.25">
      <c r="H53" s="30">
        <v>2.5000000000000001E-2</v>
      </c>
      <c r="I53" s="28">
        <v>284.87</v>
      </c>
      <c r="J53" s="28">
        <v>250.38</v>
      </c>
      <c r="K53" s="28">
        <v>221.07</v>
      </c>
      <c r="L53" s="28">
        <v>195.85</v>
      </c>
      <c r="M53" s="28">
        <v>173.95</v>
      </c>
    </row>
    <row r="54" spans="2:14" x14ac:dyDescent="0.25">
      <c r="B54" s="19" t="s">
        <v>262</v>
      </c>
      <c r="C54" s="19" t="s">
        <v>263</v>
      </c>
      <c r="H54" s="29">
        <v>0.03</v>
      </c>
      <c r="I54" s="28">
        <v>297.88</v>
      </c>
      <c r="J54" s="28">
        <v>260.97000000000003</v>
      </c>
      <c r="K54" s="28">
        <v>229.81</v>
      </c>
      <c r="L54" s="28">
        <v>203.16</v>
      </c>
      <c r="M54" s="28">
        <v>180.11</v>
      </c>
    </row>
    <row r="55" spans="2:14" ht="18.75" x14ac:dyDescent="0.3">
      <c r="B55" s="23" t="s">
        <v>264</v>
      </c>
      <c r="C55" s="23" t="s">
        <v>82</v>
      </c>
      <c r="H55" s="30">
        <v>3.5000000000000003E-2</v>
      </c>
      <c r="I55" s="28">
        <v>312.12</v>
      </c>
      <c r="J55" s="28">
        <v>272.49</v>
      </c>
      <c r="K55" s="28">
        <v>239.26</v>
      </c>
      <c r="L55" s="28">
        <v>211.01</v>
      </c>
      <c r="M55" s="28">
        <v>186.7</v>
      </c>
    </row>
    <row r="56" spans="2:14" x14ac:dyDescent="0.25">
      <c r="B56" s="20" t="s">
        <v>265</v>
      </c>
      <c r="C56" s="20">
        <v>481.3</v>
      </c>
      <c r="H56" s="29">
        <v>0.04</v>
      </c>
      <c r="I56" s="28">
        <v>327.79</v>
      </c>
      <c r="J56" s="28">
        <v>285.05</v>
      </c>
      <c r="K56" s="28">
        <v>249.49</v>
      </c>
      <c r="L56" s="28">
        <v>219.46</v>
      </c>
      <c r="M56" s="28">
        <v>193.73</v>
      </c>
    </row>
    <row r="57" spans="2:14" x14ac:dyDescent="0.25">
      <c r="B57" s="20" t="s">
        <v>266</v>
      </c>
      <c r="C57" s="20">
        <v>305.2</v>
      </c>
    </row>
    <row r="58" spans="2:14" x14ac:dyDescent="0.25">
      <c r="B58" s="20" t="s">
        <v>257</v>
      </c>
      <c r="C58" s="20">
        <v>208.33</v>
      </c>
    </row>
    <row r="66" spans="1:3" ht="18.75" x14ac:dyDescent="0.3">
      <c r="B66" s="23" t="s">
        <v>264</v>
      </c>
      <c r="C66" s="23" t="s">
        <v>82</v>
      </c>
    </row>
    <row r="67" spans="1:3" x14ac:dyDescent="0.25">
      <c r="B67" t="s">
        <v>257</v>
      </c>
      <c r="C67">
        <v>208.33</v>
      </c>
    </row>
    <row r="68" spans="1:3" x14ac:dyDescent="0.25">
      <c r="B68" t="s">
        <v>258</v>
      </c>
      <c r="C68">
        <v>436.66</v>
      </c>
    </row>
    <row r="72" spans="1:3" ht="18.75" x14ac:dyDescent="0.3">
      <c r="A72" s="23" t="s">
        <v>267</v>
      </c>
      <c r="B72" s="26">
        <f>(208.33/436.66)-1</f>
        <v>-0.52290111299409148</v>
      </c>
    </row>
  </sheetData>
  <pageMargins left="0.75" right="0.75" top="1" bottom="1" header="0.5" footer="0.5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20" sqref="E20"/>
    </sheetView>
  </sheetViews>
  <sheetFormatPr defaultRowHeight="15" x14ac:dyDescent="0.25"/>
  <cols>
    <col min="1" max="1" width="42.5703125" bestFit="1" customWidth="1"/>
    <col min="3" max="3" width="9.7109375" bestFit="1" customWidth="1"/>
    <col min="4" max="4" width="9.28515625" bestFit="1" customWidth="1"/>
    <col min="5" max="6" width="9.7109375" bestFit="1" customWidth="1"/>
  </cols>
  <sheetData>
    <row r="1" spans="1:6" ht="21" x14ac:dyDescent="0.35">
      <c r="A1" s="7" t="s">
        <v>214</v>
      </c>
      <c r="B1" s="6"/>
      <c r="C1" s="6"/>
      <c r="D1" s="6"/>
    </row>
    <row r="2" spans="1:6" ht="21" x14ac:dyDescent="0.35">
      <c r="A2" s="8" t="s">
        <v>215</v>
      </c>
    </row>
    <row r="4" spans="1:6" ht="18.75" x14ac:dyDescent="0.3">
      <c r="A4" s="13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</row>
    <row r="5" spans="1:6" x14ac:dyDescent="0.25">
      <c r="A5" t="s">
        <v>216</v>
      </c>
      <c r="B5" t="s">
        <v>226</v>
      </c>
      <c r="C5" s="14">
        <f>'Income Statement'!C5/'Income Statement'!B5-1</f>
        <v>0.16189807140371992</v>
      </c>
      <c r="D5" s="14">
        <f>'Income Statement'!D5/'Income Statement'!C5-1</f>
        <v>6.7172941694172428E-2</v>
      </c>
      <c r="E5" s="14">
        <f>'Income Statement'!E5/'Income Statement'!D5-1</f>
        <v>0.10478172197945201</v>
      </c>
      <c r="F5" s="14">
        <f>'Income Statement'!F5/'Income Statement'!E5-1</f>
        <v>0.13720400313821091</v>
      </c>
    </row>
    <row r="6" spans="1:6" x14ac:dyDescent="0.25">
      <c r="A6" t="s">
        <v>217</v>
      </c>
      <c r="B6" s="10">
        <f>'Income Statement'!B7/'Income Statement'!B5</f>
        <v>0.19058436343648011</v>
      </c>
      <c r="C6" s="10">
        <f>'Income Statement'!C7/'Income Statement'!C5</f>
        <v>0.2431261371318606</v>
      </c>
      <c r="D6" s="10">
        <f>'Income Statement'!D7/'Income Statement'!D5</f>
        <v>0.3005313592689966</v>
      </c>
      <c r="E6" s="10">
        <f>'Income Statement'!E7/'Income Statement'!E5</f>
        <v>0.28006854715749152</v>
      </c>
      <c r="F6" s="10">
        <f>'Income Statement'!F7/'Income Statement'!F5</f>
        <v>0.2542902807172201</v>
      </c>
    </row>
    <row r="7" spans="1:6" x14ac:dyDescent="0.25">
      <c r="A7" t="s">
        <v>218</v>
      </c>
      <c r="B7" s="10">
        <f>('Income Statement'!B7-'Income Statement'!B8-'Income Statement'!B9)/'Income Statement'!B5</f>
        <v>0.13753022162888878</v>
      </c>
      <c r="C7" s="10">
        <f>('Income Statement'!C7-'Income Statement'!C8-'Income Statement'!C9)/'Income Statement'!C5</f>
        <v>0.19810505722021182</v>
      </c>
      <c r="D7" s="10">
        <f>('Income Statement'!D7-'Income Statement'!D8-'Income Statement'!D9)/'Income Statement'!D5</f>
        <v>0.24350256679285701</v>
      </c>
      <c r="E7" s="10">
        <f>('Income Statement'!E7-'Income Statement'!E8-'Income Statement'!E9)/'Income Statement'!E5</f>
        <v>0.2254206242882025</v>
      </c>
      <c r="F7" s="10">
        <f>('Income Statement'!F7-'Income Statement'!F8-'Income Statement'!F9)/'Income Statement'!F5</f>
        <v>0.20485752299867313</v>
      </c>
    </row>
    <row r="8" spans="1:6" x14ac:dyDescent="0.25">
      <c r="A8" t="s">
        <v>219</v>
      </c>
      <c r="B8" s="10">
        <f>'Income Statement'!B17/'Income Statement'!B5</f>
        <v>0.10988486605742218</v>
      </c>
      <c r="C8" s="10">
        <f>'Income Statement'!C17/'Income Statement'!C5</f>
        <v>0.12660342179486256</v>
      </c>
      <c r="D8" s="10">
        <f>'Income Statement'!D17/'Income Statement'!D5</f>
        <v>0.17600388031798417</v>
      </c>
      <c r="E8" s="10">
        <f>'Income Statement'!E17/'Income Statement'!E5</f>
        <v>0.18609519298602953</v>
      </c>
      <c r="F8" s="10">
        <f>'Income Statement'!F17/'Income Statement'!F5</f>
        <v>0.18680080390842796</v>
      </c>
    </row>
    <row r="9" spans="1:6" x14ac:dyDescent="0.25">
      <c r="A9" t="s">
        <v>220</v>
      </c>
      <c r="B9" s="10">
        <f>'Income Statement'!B17/'Balance Sheet'!B23</f>
        <v>0.18233397410867147</v>
      </c>
      <c r="C9" s="10">
        <f>'Income Statement'!C17/'Balance Sheet'!C23</f>
        <v>0.18681361614412315</v>
      </c>
      <c r="D9" s="10">
        <f>'Income Statement'!D17/'Balance Sheet'!D23</f>
        <v>0.23287034133747117</v>
      </c>
      <c r="E9" s="10">
        <f>'Income Statement'!E17/'Balance Sheet'!E23</f>
        <v>0.21775631183302796</v>
      </c>
      <c r="F9" s="10">
        <f>'Income Statement'!F17/'Balance Sheet'!F23</f>
        <v>0.20353497219906946</v>
      </c>
    </row>
    <row r="10" spans="1:6" x14ac:dyDescent="0.25">
      <c r="A10" t="s">
        <v>221</v>
      </c>
      <c r="B10" s="10">
        <f>'Income Statement'!B17/'Balance Sheet'!B14</f>
        <v>7.2312110497193688E-2</v>
      </c>
      <c r="C10" s="10">
        <f>'Income Statement'!C17/'Balance Sheet'!C14</f>
        <v>8.0147029960927665E-2</v>
      </c>
      <c r="D10" s="10">
        <f>'Income Statement'!D17/'Balance Sheet'!D14</f>
        <v>0.10965728964227134</v>
      </c>
      <c r="E10" s="10">
        <f>'Income Statement'!E17/'Balance Sheet'!E14</f>
        <v>0.11585245323995493</v>
      </c>
      <c r="F10" s="10">
        <f>'Income Statement'!F17/'Balance Sheet'!F14</f>
        <v>0.12149564243670859</v>
      </c>
    </row>
    <row r="11" spans="1:6" x14ac:dyDescent="0.25">
      <c r="A11" t="s">
        <v>222</v>
      </c>
      <c r="B11" s="11">
        <f>'Balance Sheet'!B24/'Balance Sheet'!B23</f>
        <v>0.95762372470689527</v>
      </c>
      <c r="C11" s="11">
        <f>'Balance Sheet'!C24/'Balance Sheet'!C23</f>
        <v>0.81234027716581281</v>
      </c>
      <c r="D11" s="11">
        <f>'Balance Sheet'!D24/'Balance Sheet'!D23</f>
        <v>0.6625546065911001</v>
      </c>
      <c r="E11" s="11">
        <f>'Balance Sheet'!E24/'Balance Sheet'!E23</f>
        <v>0.47928955960839192</v>
      </c>
      <c r="F11" s="11">
        <f>'Balance Sheet'!F24/'Balance Sheet'!F23</f>
        <v>0.39031873476751672</v>
      </c>
    </row>
    <row r="12" spans="1:6" x14ac:dyDescent="0.25">
      <c r="A12" t="s">
        <v>223</v>
      </c>
      <c r="B12" s="11">
        <f>'Balance Sheet'!B9/'Balance Sheet'!B18</f>
        <v>1.1768180387482168</v>
      </c>
      <c r="C12" s="11">
        <f>'Balance Sheet'!C9/'Balance Sheet'!C18</f>
        <v>1.360748600932332</v>
      </c>
      <c r="D12" s="11">
        <f>'Balance Sheet'!D9/'Balance Sheet'!D18</f>
        <v>1.4942570637299974</v>
      </c>
      <c r="E12" s="11">
        <f>'Balance Sheet'!E9/'Balance Sheet'!E18</f>
        <v>1.8031545670345492</v>
      </c>
      <c r="F12" s="11">
        <f>'Balance Sheet'!F9/'Balance Sheet'!F18</f>
        <v>2.1847984044149227</v>
      </c>
    </row>
    <row r="13" spans="1:6" x14ac:dyDescent="0.25">
      <c r="A13" t="s">
        <v>224</v>
      </c>
      <c r="B13" t="s">
        <v>226</v>
      </c>
      <c r="C13" s="10">
        <f>('Income Statement'!C20/'Income Statement'!B20)-1</f>
        <v>0.67708333333333348</v>
      </c>
      <c r="D13" s="10">
        <f>('Income Statement'!D20/'Income Statement'!C20)-1</f>
        <v>0.4416475972540046</v>
      </c>
      <c r="E13" s="10">
        <f>('Income Statement'!E20/'Income Statement'!D20)-1</f>
        <v>0.19115646258503394</v>
      </c>
      <c r="F13" s="10">
        <f>('Income Statement'!F20/'Income Statement'!E20)-1</f>
        <v>0.15705311250713883</v>
      </c>
    </row>
    <row r="14" spans="1:6" x14ac:dyDescent="0.25">
      <c r="A14" t="s">
        <v>81</v>
      </c>
      <c r="B14" s="12">
        <f>'Cash Flow'!B2+'Cash Flow'!B3</f>
        <v>-85.155000000000001</v>
      </c>
      <c r="C14" s="12">
        <f>'Cash Flow'!C2+'Cash Flow'!C3</f>
        <v>33.371000000000002</v>
      </c>
      <c r="D14" s="12">
        <f>'Cash Flow'!D2+'Cash Flow'!D3</f>
        <v>20.395</v>
      </c>
      <c r="E14" s="12">
        <f>'Cash Flow'!E2+'Cash Flow'!E3</f>
        <v>75.760999999999996</v>
      </c>
      <c r="F14" s="12">
        <f>'Cash Flow'!F2+'Cash Flow'!F3</f>
        <v>33.454000000000008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D14" sqref="D14"/>
    </sheetView>
  </sheetViews>
  <sheetFormatPr defaultRowHeight="15" x14ac:dyDescent="0.25"/>
  <cols>
    <col min="1" max="1" width="89" bestFit="1" customWidth="1"/>
    <col min="2" max="2" width="10.85546875" bestFit="1" customWidth="1"/>
  </cols>
  <sheetData>
    <row r="1" spans="1:3" ht="26.25" x14ac:dyDescent="0.4">
      <c r="A1" s="79" t="s">
        <v>268</v>
      </c>
      <c r="B1" s="22"/>
      <c r="C1" s="22"/>
    </row>
    <row r="3" spans="1:3" ht="21" x14ac:dyDescent="0.35">
      <c r="A3" s="80" t="s">
        <v>269</v>
      </c>
    </row>
    <row r="4" spans="1:3" ht="18.75" x14ac:dyDescent="0.3">
      <c r="A4" s="23" t="s">
        <v>270</v>
      </c>
      <c r="B4" s="23" t="s">
        <v>82</v>
      </c>
    </row>
    <row r="5" spans="1:3" ht="15.75" x14ac:dyDescent="0.25">
      <c r="A5" s="78" t="s">
        <v>212</v>
      </c>
      <c r="B5" s="81">
        <v>0.16</v>
      </c>
    </row>
    <row r="6" spans="1:3" ht="15.75" x14ac:dyDescent="0.25">
      <c r="A6" s="78" t="s">
        <v>250</v>
      </c>
      <c r="B6" s="81">
        <v>0.03</v>
      </c>
    </row>
    <row r="7" spans="1:3" ht="15.75" x14ac:dyDescent="0.25">
      <c r="A7" s="78" t="s">
        <v>271</v>
      </c>
      <c r="B7" s="78" t="s">
        <v>273</v>
      </c>
    </row>
    <row r="8" spans="1:3" ht="15.75" x14ac:dyDescent="0.25">
      <c r="A8" s="78" t="s">
        <v>257</v>
      </c>
      <c r="B8" s="82">
        <v>208.33</v>
      </c>
    </row>
    <row r="9" spans="1:3" ht="15.75" x14ac:dyDescent="0.25">
      <c r="A9" s="78" t="s">
        <v>258</v>
      </c>
      <c r="B9" s="82">
        <v>436.66</v>
      </c>
    </row>
    <row r="10" spans="1:3" ht="15.75" x14ac:dyDescent="0.25">
      <c r="A10" s="78" t="s">
        <v>272</v>
      </c>
      <c r="B10" s="83">
        <v>-0.52290000000000003</v>
      </c>
    </row>
    <row r="13" spans="1:3" ht="21" x14ac:dyDescent="0.35">
      <c r="A13" s="24" t="s">
        <v>274</v>
      </c>
    </row>
    <row r="14" spans="1:3" ht="18.75" x14ac:dyDescent="0.3">
      <c r="A14" s="21" t="s">
        <v>275</v>
      </c>
    </row>
    <row r="15" spans="1:3" ht="18.75" x14ac:dyDescent="0.3">
      <c r="A15" s="21" t="s">
        <v>276</v>
      </c>
    </row>
    <row r="16" spans="1:3" ht="18.75" x14ac:dyDescent="0.3">
      <c r="A16" s="21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showGridLines="0" tabSelected="1" topLeftCell="A13" zoomScale="65" zoomScaleNormal="65" workbookViewId="0">
      <selection activeCell="D11" sqref="D11"/>
    </sheetView>
  </sheetViews>
  <sheetFormatPr defaultRowHeight="15" x14ac:dyDescent="0.25"/>
  <cols>
    <col min="1" max="1" width="72.140625" bestFit="1" customWidth="1"/>
    <col min="2" max="2" width="32.85546875" bestFit="1" customWidth="1"/>
    <col min="3" max="3" width="59.5703125" bestFit="1" customWidth="1"/>
    <col min="4" max="4" width="25.42578125" bestFit="1" customWidth="1"/>
    <col min="5" max="5" width="55.140625" bestFit="1" customWidth="1"/>
    <col min="6" max="6" width="10.5703125" bestFit="1" customWidth="1"/>
    <col min="7" max="7" width="29.7109375" bestFit="1" customWidth="1"/>
    <col min="8" max="8" width="33.42578125" customWidth="1"/>
    <col min="10" max="10" width="13.85546875" bestFit="1" customWidth="1"/>
    <col min="11" max="11" width="10.28515625" bestFit="1" customWidth="1"/>
  </cols>
  <sheetData>
    <row r="1" spans="1:12" ht="46.5" x14ac:dyDescent="0.7">
      <c r="A1" s="118" t="s">
        <v>278</v>
      </c>
      <c r="B1" s="118"/>
      <c r="C1" s="118"/>
      <c r="D1" s="118"/>
      <c r="E1" s="118"/>
      <c r="F1" s="118"/>
      <c r="G1" s="118"/>
    </row>
    <row r="2" spans="1:12" ht="36" x14ac:dyDescent="0.55000000000000004">
      <c r="A2" s="119" t="s">
        <v>279</v>
      </c>
      <c r="B2" s="119"/>
      <c r="C2" s="119"/>
      <c r="D2" s="119"/>
      <c r="E2" s="119"/>
      <c r="F2" s="119"/>
      <c r="G2" s="119"/>
    </row>
    <row r="4" spans="1:12" ht="26.25" x14ac:dyDescent="0.4">
      <c r="A4" s="94" t="s">
        <v>280</v>
      </c>
      <c r="C4" s="95" t="s">
        <v>281</v>
      </c>
      <c r="D4" s="33"/>
      <c r="E4" s="96" t="s">
        <v>282</v>
      </c>
      <c r="G4" s="97" t="s">
        <v>283</v>
      </c>
    </row>
    <row r="5" spans="1:12" ht="26.25" x14ac:dyDescent="0.4">
      <c r="A5" s="55">
        <f>'Income Statement'!F5</f>
        <v>516.35881099999995</v>
      </c>
      <c r="C5" s="56">
        <f>'Financial analysis'!F8</f>
        <v>0.18680080390842796</v>
      </c>
      <c r="D5" s="33"/>
      <c r="E5" s="57">
        <f>'Income Statement'!F18</f>
        <v>60.78</v>
      </c>
      <c r="G5" s="58">
        <f>'DCF Inputs - Raw'!B43</f>
        <v>208.32723467286741</v>
      </c>
    </row>
    <row r="8" spans="1:12" ht="36" x14ac:dyDescent="0.55000000000000004">
      <c r="A8" s="85" t="s">
        <v>284</v>
      </c>
      <c r="B8" s="85"/>
      <c r="C8" s="85"/>
      <c r="D8" s="85"/>
      <c r="E8" s="85"/>
      <c r="F8" s="85"/>
      <c r="G8" s="85"/>
    </row>
    <row r="9" spans="1:12" ht="26.25" x14ac:dyDescent="0.4">
      <c r="A9" s="59" t="s">
        <v>285</v>
      </c>
      <c r="B9" s="60" t="s">
        <v>286</v>
      </c>
      <c r="C9" s="34"/>
    </row>
    <row r="10" spans="1:12" ht="26.25" x14ac:dyDescent="0.4">
      <c r="A10" s="59" t="s">
        <v>287</v>
      </c>
      <c r="B10" s="60" t="s">
        <v>166</v>
      </c>
      <c r="C10" s="34"/>
    </row>
    <row r="11" spans="1:12" ht="26.25" x14ac:dyDescent="0.4">
      <c r="A11" s="59" t="s">
        <v>288</v>
      </c>
      <c r="B11" s="60" t="s">
        <v>24</v>
      </c>
      <c r="C11" s="34"/>
    </row>
    <row r="12" spans="1:12" ht="26.25" x14ac:dyDescent="0.4">
      <c r="A12" s="59" t="s">
        <v>289</v>
      </c>
      <c r="B12" s="60" t="s">
        <v>94</v>
      </c>
      <c r="C12" s="34"/>
    </row>
    <row r="14" spans="1:12" ht="36" x14ac:dyDescent="0.55000000000000004">
      <c r="A14" s="87" t="s">
        <v>290</v>
      </c>
      <c r="B14" s="87"/>
      <c r="C14" s="87"/>
      <c r="D14" s="87"/>
      <c r="E14" s="87"/>
      <c r="F14" s="87"/>
      <c r="G14" s="87"/>
    </row>
    <row r="15" spans="1:12" x14ac:dyDescent="0.25">
      <c r="J15" s="41" t="s">
        <v>292</v>
      </c>
      <c r="K15" s="41" t="s">
        <v>280</v>
      </c>
      <c r="L15" s="41" t="s">
        <v>291</v>
      </c>
    </row>
    <row r="16" spans="1:12" x14ac:dyDescent="0.25">
      <c r="J16" s="41" t="s">
        <v>20</v>
      </c>
      <c r="K16" s="41">
        <v>331.46199999999999</v>
      </c>
      <c r="L16" s="41">
        <v>36.423000000000002</v>
      </c>
    </row>
    <row r="17" spans="1:12" x14ac:dyDescent="0.25">
      <c r="J17" s="41" t="s">
        <v>21</v>
      </c>
      <c r="K17" s="41">
        <v>385.125</v>
      </c>
      <c r="L17" s="41">
        <v>48.758000000000003</v>
      </c>
    </row>
    <row r="18" spans="1:12" x14ac:dyDescent="0.25">
      <c r="J18" s="41" t="s">
        <v>22</v>
      </c>
      <c r="K18" s="41">
        <v>410.995</v>
      </c>
      <c r="L18" s="41">
        <v>72.337000000000003</v>
      </c>
    </row>
    <row r="19" spans="1:12" x14ac:dyDescent="0.25">
      <c r="J19" s="41" t="s">
        <v>23</v>
      </c>
      <c r="K19" s="41">
        <v>454.06</v>
      </c>
      <c r="L19" s="41">
        <v>84.498000000000005</v>
      </c>
    </row>
    <row r="20" spans="1:12" x14ac:dyDescent="0.25">
      <c r="J20" s="41" t="s">
        <v>24</v>
      </c>
      <c r="K20" s="41">
        <v>516.35900000000004</v>
      </c>
      <c r="L20" s="41">
        <v>96.456000000000003</v>
      </c>
    </row>
    <row r="22" spans="1:12" x14ac:dyDescent="0.25">
      <c r="J22" s="41" t="s">
        <v>292</v>
      </c>
      <c r="K22" s="41" t="s">
        <v>282</v>
      </c>
    </row>
    <row r="23" spans="1:12" x14ac:dyDescent="0.25">
      <c r="J23" s="41" t="s">
        <v>20</v>
      </c>
      <c r="K23" s="41">
        <v>91.22</v>
      </c>
    </row>
    <row r="24" spans="1:12" x14ac:dyDescent="0.25">
      <c r="J24" s="41" t="s">
        <v>21</v>
      </c>
      <c r="K24" s="41">
        <v>30.59</v>
      </c>
    </row>
    <row r="25" spans="1:12" x14ac:dyDescent="0.25">
      <c r="J25" s="41" t="s">
        <v>22</v>
      </c>
      <c r="K25" s="41">
        <v>44.1</v>
      </c>
    </row>
    <row r="26" spans="1:12" x14ac:dyDescent="0.25">
      <c r="J26" s="41" t="s">
        <v>23</v>
      </c>
      <c r="K26" s="41">
        <v>52.53</v>
      </c>
    </row>
    <row r="27" spans="1:12" x14ac:dyDescent="0.25">
      <c r="J27" s="41" t="s">
        <v>24</v>
      </c>
      <c r="K27" s="41">
        <v>60.78</v>
      </c>
    </row>
    <row r="31" spans="1:12" ht="36" x14ac:dyDescent="0.55000000000000004">
      <c r="A31" s="85" t="s">
        <v>293</v>
      </c>
      <c r="B31" s="86"/>
      <c r="C31" s="86"/>
      <c r="D31" s="86"/>
      <c r="E31" s="86"/>
      <c r="F31" s="86"/>
      <c r="G31" s="86"/>
    </row>
    <row r="33" spans="1:11" ht="26.25" x14ac:dyDescent="0.4">
      <c r="A33" s="94" t="s">
        <v>265</v>
      </c>
      <c r="C33" s="94" t="s">
        <v>255</v>
      </c>
      <c r="E33" s="94" t="s">
        <v>296</v>
      </c>
      <c r="G33" s="94" t="s">
        <v>298</v>
      </c>
      <c r="J33" s="41" t="s">
        <v>300</v>
      </c>
      <c r="K33" s="41" t="s">
        <v>301</v>
      </c>
    </row>
    <row r="34" spans="1:11" ht="26.25" x14ac:dyDescent="0.4">
      <c r="A34" s="61" t="s">
        <v>294</v>
      </c>
      <c r="C34" s="61" t="s">
        <v>295</v>
      </c>
      <c r="E34" s="61" t="s">
        <v>297</v>
      </c>
      <c r="G34" s="61" t="s">
        <v>299</v>
      </c>
      <c r="J34" s="41" t="s">
        <v>296</v>
      </c>
      <c r="K34" s="41">
        <v>208.33</v>
      </c>
    </row>
    <row r="35" spans="1:11" x14ac:dyDescent="0.25">
      <c r="J35" s="41" t="s">
        <v>298</v>
      </c>
      <c r="K35" s="41">
        <v>436.66</v>
      </c>
    </row>
    <row r="38" spans="1:11" x14ac:dyDescent="0.25">
      <c r="A38" s="37"/>
    </row>
    <row r="39" spans="1:11" ht="31.5" x14ac:dyDescent="0.5">
      <c r="D39" s="91" t="s">
        <v>302</v>
      </c>
      <c r="E39" s="92"/>
      <c r="G39" s="35"/>
      <c r="H39" s="35"/>
    </row>
    <row r="40" spans="1:11" x14ac:dyDescent="0.25">
      <c r="A40" s="37"/>
      <c r="B40" s="37"/>
      <c r="G40" s="35"/>
      <c r="H40" s="35"/>
    </row>
    <row r="41" spans="1:11" ht="23.25" x14ac:dyDescent="0.35">
      <c r="A41" s="37"/>
      <c r="D41" s="38"/>
      <c r="E41" s="35"/>
      <c r="F41" s="35"/>
      <c r="G41" s="35"/>
      <c r="H41" s="35"/>
    </row>
    <row r="42" spans="1:11" x14ac:dyDescent="0.25">
      <c r="A42" s="37"/>
      <c r="B42">
        <v>16</v>
      </c>
      <c r="G42" s="35"/>
      <c r="H42" s="35"/>
    </row>
    <row r="43" spans="1:11" ht="23.25" x14ac:dyDescent="0.35">
      <c r="D43" s="62" t="s">
        <v>212</v>
      </c>
      <c r="E43" s="65">
        <v>0.16789999999999999</v>
      </c>
      <c r="G43" s="35"/>
      <c r="H43" s="35"/>
    </row>
    <row r="44" spans="1:11" ht="23.25" x14ac:dyDescent="0.35">
      <c r="D44" s="63" t="s">
        <v>303</v>
      </c>
      <c r="E44" s="66">
        <v>0.03</v>
      </c>
      <c r="G44" s="35"/>
      <c r="H44" s="35"/>
    </row>
    <row r="45" spans="1:11" ht="23.25" x14ac:dyDescent="0.35">
      <c r="D45" s="64" t="s">
        <v>304</v>
      </c>
      <c r="E45" s="67">
        <v>-0.52290000000000003</v>
      </c>
      <c r="G45" s="35"/>
      <c r="H45" s="35"/>
    </row>
    <row r="47" spans="1:11" ht="31.5" x14ac:dyDescent="0.5">
      <c r="D47" s="53" t="s">
        <v>305</v>
      </c>
      <c r="E47" s="53"/>
    </row>
    <row r="48" spans="1:11" ht="28.5" x14ac:dyDescent="0.45">
      <c r="D48" s="88" t="s">
        <v>306</v>
      </c>
      <c r="E48" s="88"/>
    </row>
    <row r="49" spans="1:10" ht="28.5" x14ac:dyDescent="0.45">
      <c r="D49" s="88" t="s">
        <v>307</v>
      </c>
      <c r="E49" s="88"/>
    </row>
    <row r="54" spans="1:10" ht="36" x14ac:dyDescent="0.55000000000000004">
      <c r="A54" s="85" t="s">
        <v>308</v>
      </c>
      <c r="B54" s="85"/>
      <c r="C54" s="85"/>
      <c r="D54" s="85"/>
      <c r="E54" s="85"/>
      <c r="F54" s="85"/>
      <c r="G54" s="85"/>
    </row>
    <row r="56" spans="1:10" ht="33.75" x14ac:dyDescent="0.5">
      <c r="A56" s="69" t="s">
        <v>309</v>
      </c>
      <c r="B56" s="69">
        <v>0.02</v>
      </c>
      <c r="C56" s="69">
        <v>2.5000000000000001E-2</v>
      </c>
      <c r="D56" s="69">
        <v>0.03</v>
      </c>
      <c r="E56" s="69">
        <v>3.5000000000000003E-2</v>
      </c>
      <c r="F56" s="69">
        <v>0.04</v>
      </c>
      <c r="H56" s="54" t="s">
        <v>310</v>
      </c>
      <c r="I56" s="43"/>
      <c r="J56" s="43"/>
    </row>
    <row r="57" spans="1:10" ht="23.25" x14ac:dyDescent="0.35">
      <c r="A57" s="68">
        <v>0.14000000000000001</v>
      </c>
      <c r="B57" s="70">
        <v>272.94</v>
      </c>
      <c r="C57" s="70">
        <v>284.87</v>
      </c>
      <c r="D57" s="70">
        <v>297.88</v>
      </c>
      <c r="E57" s="70">
        <v>312.12</v>
      </c>
      <c r="F57" s="70">
        <v>327.79</v>
      </c>
    </row>
    <row r="58" spans="1:10" ht="23.25" x14ac:dyDescent="0.35">
      <c r="A58" s="68">
        <v>0.15</v>
      </c>
      <c r="B58" s="70">
        <v>240.6</v>
      </c>
      <c r="C58" s="70">
        <v>250.38</v>
      </c>
      <c r="D58" s="70">
        <v>260.97000000000003</v>
      </c>
      <c r="E58" s="70">
        <v>272.49</v>
      </c>
      <c r="F58" s="70">
        <v>327.79</v>
      </c>
      <c r="H58" s="74" t="s">
        <v>311</v>
      </c>
      <c r="I58" s="39"/>
      <c r="J58" s="76">
        <v>168.17</v>
      </c>
    </row>
    <row r="59" spans="1:10" ht="23.25" x14ac:dyDescent="0.35">
      <c r="A59" s="68">
        <v>0.16</v>
      </c>
      <c r="B59" s="70">
        <v>212.94</v>
      </c>
      <c r="C59" s="70">
        <v>221.07</v>
      </c>
      <c r="D59" s="70">
        <v>229.81</v>
      </c>
      <c r="E59" s="70">
        <v>239.26</v>
      </c>
      <c r="F59" s="70">
        <v>249.49</v>
      </c>
      <c r="H59" s="75" t="s">
        <v>312</v>
      </c>
      <c r="I59" s="40"/>
      <c r="J59" s="77">
        <v>327.79</v>
      </c>
    </row>
    <row r="60" spans="1:10" ht="23.25" x14ac:dyDescent="0.35">
      <c r="A60" s="68">
        <v>0.17</v>
      </c>
      <c r="B60" s="70">
        <v>189.03</v>
      </c>
      <c r="C60" s="70">
        <v>195.85</v>
      </c>
      <c r="D60" s="70">
        <v>203.16</v>
      </c>
      <c r="E60" s="70">
        <v>211.01</v>
      </c>
      <c r="F60" s="70">
        <v>219.46</v>
      </c>
    </row>
    <row r="61" spans="1:10" ht="23.25" x14ac:dyDescent="0.35">
      <c r="A61" s="68">
        <v>0.18</v>
      </c>
      <c r="B61" s="70">
        <v>168.17</v>
      </c>
      <c r="C61" s="70">
        <v>173.95</v>
      </c>
      <c r="D61" s="70">
        <v>180.11</v>
      </c>
      <c r="E61" s="70">
        <v>186.7</v>
      </c>
      <c r="F61" s="70">
        <v>193.73</v>
      </c>
      <c r="G61" s="89" t="s">
        <v>313</v>
      </c>
      <c r="H61" s="90"/>
      <c r="I61" s="90"/>
      <c r="J61" s="90"/>
    </row>
    <row r="64" spans="1:10" ht="36" x14ac:dyDescent="0.55000000000000004">
      <c r="A64" s="85" t="s">
        <v>314</v>
      </c>
      <c r="B64" s="85"/>
      <c r="C64" s="85"/>
      <c r="D64" s="85"/>
      <c r="E64" s="85"/>
      <c r="F64" s="85"/>
      <c r="G64" s="85"/>
      <c r="H64" s="84"/>
    </row>
    <row r="66" spans="1:6" ht="26.25" x14ac:dyDescent="0.4">
      <c r="A66" s="36" t="s">
        <v>109</v>
      </c>
      <c r="B66" s="36" t="s">
        <v>315</v>
      </c>
      <c r="C66" s="36" t="s">
        <v>316</v>
      </c>
      <c r="D66" s="36" t="s">
        <v>114</v>
      </c>
    </row>
    <row r="67" spans="1:6" ht="21" x14ac:dyDescent="0.35">
      <c r="A67" s="71" t="s">
        <v>317</v>
      </c>
      <c r="B67" s="71">
        <v>446.61</v>
      </c>
      <c r="C67" s="72">
        <v>2.9999999999999997E-4</v>
      </c>
      <c r="D67" s="73">
        <v>696125</v>
      </c>
    </row>
    <row r="68" spans="1:6" ht="21" x14ac:dyDescent="0.35">
      <c r="A68" s="71" t="s">
        <v>318</v>
      </c>
      <c r="B68" s="71">
        <v>443.37</v>
      </c>
      <c r="C68" s="72">
        <v>-7.3000000000000001E-3</v>
      </c>
      <c r="D68" s="73">
        <v>753981</v>
      </c>
    </row>
    <row r="69" spans="1:6" ht="21" x14ac:dyDescent="0.35">
      <c r="A69" s="71" t="s">
        <v>319</v>
      </c>
      <c r="B69" s="71">
        <v>439.3</v>
      </c>
      <c r="C69" s="72">
        <v>-9.1999999999999998E-3</v>
      </c>
      <c r="D69" s="73">
        <v>1250095</v>
      </c>
    </row>
    <row r="70" spans="1:6" ht="21" x14ac:dyDescent="0.35">
      <c r="A70" s="71" t="s">
        <v>320</v>
      </c>
      <c r="B70" s="71">
        <v>437.2</v>
      </c>
      <c r="C70" s="72">
        <v>-4.7999999999999996E-3</v>
      </c>
      <c r="D70" s="73">
        <v>981329</v>
      </c>
    </row>
    <row r="71" spans="1:6" ht="21" x14ac:dyDescent="0.35">
      <c r="A71" s="71" t="s">
        <v>321</v>
      </c>
      <c r="B71" s="71">
        <v>436.66</v>
      </c>
      <c r="C71" s="72">
        <v>-1.1999999999999999E-3</v>
      </c>
      <c r="D71" s="73">
        <v>492042</v>
      </c>
    </row>
    <row r="72" spans="1:6" ht="21" x14ac:dyDescent="0.35">
      <c r="A72" s="71" t="s">
        <v>322</v>
      </c>
      <c r="B72" s="71">
        <v>440.41</v>
      </c>
      <c r="C72" s="72">
        <v>8.6E-3</v>
      </c>
      <c r="D72" s="73">
        <v>581614</v>
      </c>
    </row>
    <row r="73" spans="1:6" ht="21" x14ac:dyDescent="0.35">
      <c r="A73" s="71" t="s">
        <v>323</v>
      </c>
      <c r="B73" s="71">
        <v>440.03</v>
      </c>
      <c r="C73" s="72">
        <v>-8.9999999999999998E-4</v>
      </c>
      <c r="D73" s="73">
        <v>1046999</v>
      </c>
    </row>
    <row r="74" spans="1:6" ht="21" x14ac:dyDescent="0.35">
      <c r="A74" s="71" t="s">
        <v>324</v>
      </c>
      <c r="B74" s="71">
        <v>442.69</v>
      </c>
      <c r="C74" s="72">
        <v>6.0000000000000001E-3</v>
      </c>
      <c r="D74" s="73">
        <v>1473601</v>
      </c>
    </row>
    <row r="75" spans="1:6" ht="21" x14ac:dyDescent="0.35">
      <c r="A75" s="71" t="s">
        <v>325</v>
      </c>
      <c r="B75" s="71">
        <v>440.9</v>
      </c>
      <c r="C75" s="72">
        <v>-4.0000000000000001E-3</v>
      </c>
      <c r="D75" s="73">
        <v>1675292</v>
      </c>
    </row>
    <row r="76" spans="1:6" ht="21" x14ac:dyDescent="0.35">
      <c r="C76" s="72"/>
    </row>
    <row r="78" spans="1:6" ht="26.25" x14ac:dyDescent="0.4">
      <c r="E78" s="98" t="s">
        <v>326</v>
      </c>
      <c r="F78" s="99"/>
    </row>
    <row r="79" spans="1:6" ht="26.25" x14ac:dyDescent="0.4">
      <c r="E79" s="106">
        <v>440.9</v>
      </c>
      <c r="F79" s="107"/>
    </row>
    <row r="82" spans="5:7" ht="26.25" x14ac:dyDescent="0.4">
      <c r="E82" s="98" t="s">
        <v>327</v>
      </c>
      <c r="F82" s="99"/>
    </row>
    <row r="83" spans="5:7" ht="26.25" x14ac:dyDescent="0.4">
      <c r="E83" s="106">
        <v>529.5</v>
      </c>
      <c r="F83" s="107"/>
    </row>
    <row r="84" spans="5:7" x14ac:dyDescent="0.25">
      <c r="E84" s="18"/>
    </row>
    <row r="87" spans="5:7" ht="26.25" x14ac:dyDescent="0.4">
      <c r="E87" s="98" t="s">
        <v>328</v>
      </c>
      <c r="F87" s="99"/>
    </row>
    <row r="88" spans="5:7" ht="26.25" x14ac:dyDescent="0.4">
      <c r="E88" s="108">
        <f>(440.9-339)/(529.5-339)</f>
        <v>0.53490813648293956</v>
      </c>
      <c r="F88" s="109"/>
    </row>
    <row r="93" spans="5:7" x14ac:dyDescent="0.25">
      <c r="E93" s="100" t="s">
        <v>329</v>
      </c>
      <c r="F93" s="101"/>
      <c r="G93" s="102"/>
    </row>
    <row r="94" spans="5:7" x14ac:dyDescent="0.25">
      <c r="E94" s="103"/>
      <c r="F94" s="104"/>
      <c r="G94" s="105"/>
    </row>
    <row r="95" spans="5:7" x14ac:dyDescent="0.25">
      <c r="E95" s="103"/>
      <c r="F95" s="104"/>
      <c r="G95" s="105"/>
    </row>
    <row r="96" spans="5:7" ht="15" customHeight="1" x14ac:dyDescent="0.25">
      <c r="E96" s="103">
        <f>(440.9-339)/(529.5-339)</f>
        <v>0.53490813648293956</v>
      </c>
      <c r="F96" s="104"/>
      <c r="G96" s="105"/>
    </row>
    <row r="97" spans="1:8" ht="15" customHeight="1" x14ac:dyDescent="0.25">
      <c r="E97" s="103"/>
      <c r="F97" s="104"/>
      <c r="G97" s="105"/>
    </row>
    <row r="98" spans="1:8" ht="15" customHeight="1" x14ac:dyDescent="0.25">
      <c r="E98" s="110"/>
      <c r="F98" s="111"/>
      <c r="G98" s="112"/>
    </row>
    <row r="106" spans="1:8" ht="36" x14ac:dyDescent="0.55000000000000004">
      <c r="A106" s="85" t="s">
        <v>330</v>
      </c>
      <c r="B106" s="86"/>
      <c r="C106" s="86"/>
      <c r="D106" s="86"/>
      <c r="E106" s="86"/>
      <c r="F106" s="86"/>
      <c r="G106" s="86"/>
      <c r="H106" s="18"/>
    </row>
    <row r="108" spans="1:8" x14ac:dyDescent="0.25">
      <c r="A108" s="35"/>
      <c r="B108" s="35"/>
      <c r="C108" s="35"/>
      <c r="D108" s="35"/>
    </row>
    <row r="109" spans="1:8" ht="26.25" x14ac:dyDescent="0.4">
      <c r="A109" s="94" t="s">
        <v>331</v>
      </c>
      <c r="B109" s="35"/>
      <c r="C109" s="94" t="s">
        <v>333</v>
      </c>
      <c r="D109" s="35"/>
      <c r="E109" s="94" t="s">
        <v>335</v>
      </c>
    </row>
    <row r="110" spans="1:8" ht="26.25" x14ac:dyDescent="0.4">
      <c r="A110" s="113" t="s">
        <v>332</v>
      </c>
      <c r="B110" s="35"/>
      <c r="C110" s="113" t="s">
        <v>334</v>
      </c>
      <c r="D110" s="35"/>
      <c r="E110" s="113" t="s">
        <v>336</v>
      </c>
    </row>
    <row r="111" spans="1:8" x14ac:dyDescent="0.25">
      <c r="A111" s="35"/>
      <c r="B111" s="35"/>
      <c r="C111" s="35"/>
      <c r="D111" s="35"/>
    </row>
    <row r="112" spans="1:8" x14ac:dyDescent="0.25">
      <c r="A112" s="35"/>
      <c r="B112" s="35"/>
    </row>
    <row r="115" spans="1:10" ht="36" x14ac:dyDescent="0.55000000000000004">
      <c r="A115" s="93"/>
      <c r="B115" s="85" t="s">
        <v>337</v>
      </c>
      <c r="C115" s="114"/>
      <c r="D115" s="114"/>
      <c r="E115" s="93"/>
      <c r="F115" s="115"/>
      <c r="G115" s="116"/>
      <c r="H115" s="117"/>
      <c r="I115" s="117"/>
      <c r="J115" s="117"/>
    </row>
    <row r="117" spans="1:10" ht="36" x14ac:dyDescent="0.55000000000000004">
      <c r="A117" s="51" t="s">
        <v>351</v>
      </c>
      <c r="B117" s="51"/>
      <c r="C117" s="51"/>
      <c r="D117" s="51"/>
      <c r="E117" s="51"/>
      <c r="F117" s="44"/>
      <c r="G117" s="44"/>
      <c r="H117" s="44"/>
      <c r="I117" s="44"/>
      <c r="J117" s="44"/>
    </row>
    <row r="118" spans="1:10" ht="36" x14ac:dyDescent="0.55000000000000004">
      <c r="A118" s="51" t="s">
        <v>353</v>
      </c>
      <c r="B118" s="51"/>
      <c r="C118" s="51"/>
      <c r="D118" s="51"/>
      <c r="E118" s="51"/>
    </row>
    <row r="119" spans="1:10" ht="36" x14ac:dyDescent="0.55000000000000004">
      <c r="A119" s="51" t="s">
        <v>352</v>
      </c>
      <c r="B119" s="51"/>
      <c r="C119" s="51"/>
      <c r="D119" s="51"/>
      <c r="E119" s="51"/>
    </row>
  </sheetData>
  <mergeCells count="27">
    <mergeCell ref="A119:E119"/>
    <mergeCell ref="F117:J117"/>
    <mergeCell ref="A54:G54"/>
    <mergeCell ref="A64:G64"/>
    <mergeCell ref="B115:D115"/>
    <mergeCell ref="D39:E39"/>
    <mergeCell ref="A8:G8"/>
    <mergeCell ref="A1:G1"/>
    <mergeCell ref="A2:G2"/>
    <mergeCell ref="A14:G14"/>
    <mergeCell ref="A31:G31"/>
    <mergeCell ref="G61:J61"/>
    <mergeCell ref="E78:F78"/>
    <mergeCell ref="D47:E47"/>
    <mergeCell ref="D48:E48"/>
    <mergeCell ref="D49:E49"/>
    <mergeCell ref="H56:J56"/>
    <mergeCell ref="E79:F79"/>
    <mergeCell ref="E82:F82"/>
    <mergeCell ref="E83:F83"/>
    <mergeCell ref="E87:F87"/>
    <mergeCell ref="E88:F88"/>
    <mergeCell ref="A117:E117"/>
    <mergeCell ref="A118:E118"/>
    <mergeCell ref="E93:G95"/>
    <mergeCell ref="E96:G98"/>
    <mergeCell ref="A106:G106"/>
  </mergeCells>
  <conditionalFormatting sqref="A56:F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showGridLines="0" topLeftCell="A7" zoomScaleNormal="100" workbookViewId="0">
      <selection activeCell="Q7" sqref="Q7"/>
    </sheetView>
  </sheetViews>
  <sheetFormatPr defaultRowHeight="15" x14ac:dyDescent="0.25"/>
  <sheetData>
    <row r="1" spans="1:20" x14ac:dyDescent="0.25">
      <c r="A1" s="45" t="s">
        <v>338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0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4" spans="1:20" ht="23.25" x14ac:dyDescent="0.35">
      <c r="A4" s="47" t="s">
        <v>339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0" ht="21" x14ac:dyDescent="0.35">
      <c r="A5" s="42" t="s">
        <v>340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ht="21" x14ac:dyDescent="0.35">
      <c r="A6" s="42" t="s">
        <v>341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8" spans="1:20" ht="13.5" customHeight="1" x14ac:dyDescent="0.25"/>
    <row r="10" spans="1:20" ht="23.25" x14ac:dyDescent="0.35">
      <c r="A10" s="49" t="s">
        <v>342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</row>
    <row r="11" spans="1:20" ht="21" x14ac:dyDescent="0.35">
      <c r="A11" s="42" t="s">
        <v>343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20" ht="21" x14ac:dyDescent="0.35">
      <c r="A12" s="42" t="s">
        <v>344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4" spans="1:20" ht="15.75" customHeight="1" x14ac:dyDescent="0.25"/>
    <row r="16" spans="1:20" ht="23.25" x14ac:dyDescent="0.35">
      <c r="A16" s="50" t="s">
        <v>345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spans="1:20" ht="21" x14ac:dyDescent="0.35">
      <c r="A17" s="42" t="s">
        <v>346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ht="21" x14ac:dyDescent="0.35">
      <c r="A18" s="42" t="s">
        <v>347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22" spans="1:20" ht="23.25" x14ac:dyDescent="0.35">
      <c r="A22" s="52" t="s">
        <v>348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</row>
    <row r="23" spans="1:20" ht="21" x14ac:dyDescent="0.35">
      <c r="A23" s="42" t="s">
        <v>350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0" ht="21" x14ac:dyDescent="0.35">
      <c r="A24" s="42" t="s">
        <v>349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</sheetData>
  <mergeCells count="13">
    <mergeCell ref="A22:T22"/>
    <mergeCell ref="A23:T23"/>
    <mergeCell ref="A24:T24"/>
    <mergeCell ref="A10:T10"/>
    <mergeCell ref="A11:T11"/>
    <mergeCell ref="A12:T12"/>
    <mergeCell ref="A16:T16"/>
    <mergeCell ref="A17:T17"/>
    <mergeCell ref="A18:T18"/>
    <mergeCell ref="A1:T2"/>
    <mergeCell ref="A4:T4"/>
    <mergeCell ref="A5:T5"/>
    <mergeCell ref="A6:T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2A8D9-7BEC-4C1E-949F-38866828D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Income Statement</vt:lpstr>
      <vt:lpstr>Balance Sheet</vt:lpstr>
      <vt:lpstr>Cash Flow</vt:lpstr>
      <vt:lpstr>Market Snapshot</vt:lpstr>
      <vt:lpstr>Stock Price - Recent</vt:lpstr>
      <vt:lpstr>Segment Revenue</vt:lpstr>
      <vt:lpstr>DCF Inputs - Raw</vt:lpstr>
      <vt:lpstr>Financial analysis</vt:lpstr>
      <vt:lpstr>key Assumptions &amp; Conclusion</vt:lpstr>
      <vt:lpstr>Dashboard</vt:lpstr>
      <vt:lpstr>Case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Village computer mpk</cp:lastModifiedBy>
  <dcterms:created xsi:type="dcterms:W3CDTF">2026-08-20T14:16:03Z</dcterms:created>
  <dcterms:modified xsi:type="dcterms:W3CDTF">2026-09-10T21:45:46Z</dcterms:modified>
</cp:coreProperties>
</file>